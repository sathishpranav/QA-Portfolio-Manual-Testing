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fc1b4536813fe0/2024_latest_after_virtusa/EXCEL_EXAMPLES/"/>
    </mc:Choice>
  </mc:AlternateContent>
  <xr:revisionPtr revIDLastSave="877" documentId="8_{85594A8E-B79F-4C84-90CE-EC7582059369}" xr6:coauthVersionLast="47" xr6:coauthVersionMax="47" xr10:uidLastSave="{B8600A8D-EAC4-4CD5-8561-811256BBF45B}"/>
  <bookViews>
    <workbookView xWindow="-108" yWindow="-108" windowWidth="23256" windowHeight="12456" firstSheet="4" activeTab="7" xr2:uid="{AD7A9591-11ED-4A67-8C21-44C265C00D7A}"/>
  </bookViews>
  <sheets>
    <sheet name="dob calculator" sheetId="5" r:id="rId1"/>
    <sheet name="Attendence" sheetId="6" r:id="rId2"/>
    <sheet name="Production_report_december" sheetId="7" r:id="rId3"/>
    <sheet name=" 30wrk_days" sheetId="1" r:id="rId4"/>
    <sheet name="IN_STOCK_OUT_OF_STOCK" sheetId="2" r:id="rId5"/>
    <sheet name="Sheet3" sheetId="3" r:id="rId6"/>
    <sheet name="rept function" sheetId="4" r:id="rId7"/>
    <sheet name="Production_report_january" sheetId="8" r:id="rId8"/>
  </sheets>
  <definedNames>
    <definedName name="Monthly">#REF!</definedName>
    <definedName name="Months" localSheetId="7">Production_report_january!$AK$5:$AK$16</definedName>
    <definedName name="Months">Production_report_december!$AK$5:$AK$16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4" i="8" l="1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AH13" i="8"/>
  <c r="AJ13" i="8" s="1"/>
  <c r="AH12" i="8"/>
  <c r="AJ12" i="8" s="1"/>
  <c r="AH11" i="8"/>
  <c r="AJ11" i="8" s="1"/>
  <c r="AH10" i="8"/>
  <c r="AJ10" i="8" s="1"/>
  <c r="AH9" i="8"/>
  <c r="AJ9" i="8" s="1"/>
  <c r="AH8" i="8"/>
  <c r="AJ8" i="8" s="1"/>
  <c r="AH7" i="8"/>
  <c r="AJ7" i="8" s="1"/>
  <c r="AH6" i="8"/>
  <c r="AJ6" i="8" s="1"/>
  <c r="AH5" i="8"/>
  <c r="AJ5" i="8" s="1"/>
  <c r="AH4" i="8"/>
  <c r="T1" i="8"/>
  <c r="C3" i="8" s="1"/>
  <c r="AJ14" i="7"/>
  <c r="AI14" i="7"/>
  <c r="AH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C14" i="7"/>
  <c r="AJ5" i="7"/>
  <c r="AJ6" i="7"/>
  <c r="AJ7" i="7"/>
  <c r="AJ8" i="7"/>
  <c r="AJ9" i="7"/>
  <c r="AJ10" i="7"/>
  <c r="AJ11" i="7"/>
  <c r="AJ12" i="7"/>
  <c r="AJ13" i="7"/>
  <c r="AH5" i="7"/>
  <c r="AH6" i="7"/>
  <c r="AH7" i="7"/>
  <c r="AH8" i="7"/>
  <c r="AH9" i="7"/>
  <c r="AH10" i="7"/>
  <c r="AH11" i="7"/>
  <c r="AH12" i="7"/>
  <c r="AH13" i="7"/>
  <c r="AH4" i="7"/>
  <c r="AJ4" i="7" s="1"/>
  <c r="T1" i="7"/>
  <c r="AC1" i="7" s="1"/>
  <c r="AH14" i="8" l="1"/>
  <c r="AJ4" i="8"/>
  <c r="AJ14" i="8" s="1"/>
  <c r="C2" i="8"/>
  <c r="AC1" i="8"/>
  <c r="D3" i="8" s="1"/>
  <c r="C3" i="7"/>
  <c r="E3" i="8" l="1"/>
  <c r="D2" i="8"/>
  <c r="D3" i="7"/>
  <c r="C2" i="7"/>
  <c r="F3" i="8" l="1"/>
  <c r="E2" i="8"/>
  <c r="E3" i="7"/>
  <c r="D2" i="7"/>
  <c r="G3" i="8" l="1"/>
  <c r="F2" i="8"/>
  <c r="F3" i="7"/>
  <c r="E2" i="7"/>
  <c r="H3" i="8" l="1"/>
  <c r="G2" i="8"/>
  <c r="G3" i="7"/>
  <c r="F2" i="7"/>
  <c r="I3" i="8" l="1"/>
  <c r="H2" i="8"/>
  <c r="H3" i="7"/>
  <c r="G2" i="7"/>
  <c r="J3" i="8" l="1"/>
  <c r="I2" i="8"/>
  <c r="I3" i="7"/>
  <c r="H2" i="7"/>
  <c r="K3" i="8" l="1"/>
  <c r="J2" i="8"/>
  <c r="J3" i="7"/>
  <c r="I2" i="7"/>
  <c r="L3" i="8" l="1"/>
  <c r="K2" i="8"/>
  <c r="K3" i="7"/>
  <c r="J2" i="7"/>
  <c r="M3" i="8" l="1"/>
  <c r="L2" i="8"/>
  <c r="L3" i="7"/>
  <c r="K2" i="7"/>
  <c r="N3" i="8" l="1"/>
  <c r="M2" i="8"/>
  <c r="M3" i="7"/>
  <c r="L2" i="7"/>
  <c r="O3" i="8" l="1"/>
  <c r="N2" i="8"/>
  <c r="N3" i="7"/>
  <c r="M2" i="7"/>
  <c r="P3" i="8" l="1"/>
  <c r="O2" i="8"/>
  <c r="O3" i="7"/>
  <c r="N2" i="7"/>
  <c r="Q3" i="8" l="1"/>
  <c r="P2" i="8"/>
  <c r="P3" i="7"/>
  <c r="O2" i="7"/>
  <c r="C13" i="5" a="1"/>
  <c r="C13" i="5" s="1"/>
  <c r="C14" i="5"/>
  <c r="C15" i="5"/>
  <c r="C16" i="5"/>
  <c r="B9" i="5" a="1"/>
  <c r="B9" i="5" s="1"/>
  <c r="C13" i="2" a="1"/>
  <c r="C13" i="2" s="1"/>
  <c r="C15" i="3"/>
  <c r="D3" i="4"/>
  <c r="D4" i="4"/>
  <c r="D5" i="4"/>
  <c r="D6" i="4"/>
  <c r="D7" i="4"/>
  <c r="D8" i="4"/>
  <c r="D9" i="4"/>
  <c r="D2" i="4"/>
  <c r="H15" i="3"/>
  <c r="H16" i="3"/>
  <c r="H17" i="3"/>
  <c r="H18" i="3"/>
  <c r="H19" i="3"/>
  <c r="H14" i="3"/>
  <c r="C16" i="3"/>
  <c r="C17" i="3"/>
  <c r="C18" i="3"/>
  <c r="C19" i="3"/>
  <c r="C20" i="3"/>
  <c r="C21" i="3"/>
  <c r="C22" i="3"/>
  <c r="C23" i="3"/>
  <c r="C24" i="3"/>
  <c r="C3" i="3"/>
  <c r="C4" i="3"/>
  <c r="C5" i="3"/>
  <c r="C6" i="3"/>
  <c r="C7" i="3"/>
  <c r="C8" i="3"/>
  <c r="C9" i="3"/>
  <c r="C10" i="3"/>
  <c r="C11" i="3"/>
  <c r="C2" i="3"/>
  <c r="E13" i="2" a="1"/>
  <c r="E13" i="2" s="1"/>
  <c r="B4" i="1" a="1"/>
  <c r="B4" i="1" s="1"/>
  <c r="R3" i="8" l="1"/>
  <c r="Q2" i="8"/>
  <c r="Q3" i="7"/>
  <c r="P2" i="7"/>
  <c r="S3" i="8" l="1"/>
  <c r="R2" i="8"/>
  <c r="R3" i="7"/>
  <c r="Q2" i="7"/>
  <c r="T3" i="8" l="1"/>
  <c r="S2" i="8"/>
  <c r="S3" i="7"/>
  <c r="R2" i="7"/>
  <c r="U3" i="8" l="1"/>
  <c r="T2" i="8"/>
  <c r="T3" i="7"/>
  <c r="S2" i="7"/>
  <c r="V3" i="8" l="1"/>
  <c r="U2" i="8"/>
  <c r="U3" i="7"/>
  <c r="T2" i="7"/>
  <c r="W3" i="8" l="1"/>
  <c r="V2" i="8"/>
  <c r="V3" i="7"/>
  <c r="U2" i="7"/>
  <c r="X3" i="8" l="1"/>
  <c r="W2" i="8"/>
  <c r="W3" i="7"/>
  <c r="V2" i="7"/>
  <c r="Y3" i="8" l="1"/>
  <c r="X2" i="8"/>
  <c r="X3" i="7"/>
  <c r="W2" i="7"/>
  <c r="Z3" i="8" l="1"/>
  <c r="Y2" i="8"/>
  <c r="Y3" i="7"/>
  <c r="X2" i="7"/>
  <c r="Z2" i="8" l="1"/>
  <c r="AA3" i="8"/>
  <c r="Z3" i="7"/>
  <c r="Y2" i="7"/>
  <c r="AA2" i="8" l="1"/>
  <c r="AB3" i="8"/>
  <c r="AA3" i="7"/>
  <c r="Z2" i="7"/>
  <c r="AC3" i="8" l="1"/>
  <c r="AB2" i="8"/>
  <c r="AB3" i="7"/>
  <c r="AA2" i="7"/>
  <c r="AC2" i="8" l="1"/>
  <c r="AD3" i="8"/>
  <c r="AC3" i="7"/>
  <c r="AB2" i="7"/>
  <c r="AE3" i="8" l="1"/>
  <c r="AD2" i="8"/>
  <c r="AD3" i="7"/>
  <c r="AC2" i="7"/>
  <c r="AE2" i="8" l="1"/>
  <c r="AF3" i="8"/>
  <c r="AE3" i="7"/>
  <c r="AD2" i="7"/>
  <c r="AG3" i="8" l="1"/>
  <c r="AG2" i="8" s="1"/>
  <c r="AF2" i="8"/>
  <c r="AF3" i="7"/>
  <c r="AE2" i="7"/>
  <c r="AG3" i="7" l="1"/>
  <c r="AG2" i="7" s="1"/>
  <c r="AF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<sst xmlns="http://schemas.openxmlformats.org/spreadsheetml/2006/main" count="170" uniqueCount="103">
  <si>
    <t>start date</t>
  </si>
  <si>
    <t>S.No</t>
  </si>
  <si>
    <t>Working Days</t>
  </si>
  <si>
    <t>STOCK LOG</t>
  </si>
  <si>
    <t>IN STOCK</t>
  </si>
  <si>
    <t>OUT OF STOCK</t>
  </si>
  <si>
    <t>PRODUCT</t>
  </si>
  <si>
    <t>QTY</t>
  </si>
  <si>
    <t xml:space="preserve">PRODUCT </t>
  </si>
  <si>
    <t>QTY2</t>
  </si>
  <si>
    <t>PRODUCT 3</t>
  </si>
  <si>
    <t>QTY4</t>
  </si>
  <si>
    <t>cadbury</t>
  </si>
  <si>
    <t>kit kat</t>
  </si>
  <si>
    <t>lolly pop</t>
  </si>
  <si>
    <t>gems</t>
  </si>
  <si>
    <t>perk</t>
  </si>
  <si>
    <t>5 star</t>
  </si>
  <si>
    <t>munch</t>
  </si>
  <si>
    <t>®®</t>
  </si>
  <si>
    <t>events</t>
  </si>
  <si>
    <t>dead line</t>
  </si>
  <si>
    <t>days left</t>
  </si>
  <si>
    <t>sports event</t>
  </si>
  <si>
    <t>conference</t>
  </si>
  <si>
    <t>Trade show</t>
  </si>
  <si>
    <t>Product launch and show case</t>
  </si>
  <si>
    <t>party events</t>
  </si>
  <si>
    <t>science and technology excibition</t>
  </si>
  <si>
    <t>jwellery display</t>
  </si>
  <si>
    <t>dance show</t>
  </si>
  <si>
    <t>health and wellness programm</t>
  </si>
  <si>
    <t>insurance day event</t>
  </si>
  <si>
    <t>remaining days</t>
  </si>
  <si>
    <t>sai</t>
  </si>
  <si>
    <t>ram</t>
  </si>
  <si>
    <t>hari archana</t>
  </si>
  <si>
    <t>sathish</t>
  </si>
  <si>
    <t>rohit</t>
  </si>
  <si>
    <t>vidharth</t>
  </si>
  <si>
    <t>pranavh</t>
  </si>
  <si>
    <t>papa</t>
  </si>
  <si>
    <t>coffee</t>
  </si>
  <si>
    <t>Name</t>
  </si>
  <si>
    <t>product</t>
  </si>
  <si>
    <t>sales</t>
  </si>
  <si>
    <t>hari</t>
  </si>
  <si>
    <t>sale1</t>
  </si>
  <si>
    <t>sale2</t>
  </si>
  <si>
    <t>sale3</t>
  </si>
  <si>
    <t>archana</t>
  </si>
  <si>
    <t>name</t>
  </si>
  <si>
    <t>Total sales</t>
  </si>
  <si>
    <t>DOB</t>
  </si>
  <si>
    <t>Age</t>
  </si>
  <si>
    <t>address</t>
  </si>
  <si>
    <t>city</t>
  </si>
  <si>
    <t>cell</t>
  </si>
  <si>
    <t>Navigate to format tab using ctrl+1  and type@* ":" in custom field</t>
  </si>
  <si>
    <t>mgr</t>
  </si>
  <si>
    <t>jaya</t>
  </si>
  <si>
    <t>sony</t>
  </si>
  <si>
    <t>Role</t>
  </si>
  <si>
    <t>Rohit</t>
  </si>
  <si>
    <t>mama</t>
  </si>
  <si>
    <t>thambi</t>
  </si>
  <si>
    <t>MONTHLY PRODUCTION REPORT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</si>
  <si>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</si>
  <si>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</si>
  <si>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</si>
  <si>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</si>
  <si>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</si>
  <si>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</si>
  <si>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</si>
  <si>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</si>
  <si>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</si>
  <si>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</si>
  <si>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</si>
  <si>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</si>
  <si>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</si>
  <si>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</t>
  </si>
  <si>
    <t>PRODUCTS</t>
  </si>
  <si>
    <t>Monitor</t>
  </si>
  <si>
    <t>Hard disk</t>
  </si>
  <si>
    <t>printer</t>
  </si>
  <si>
    <t>Ram</t>
  </si>
  <si>
    <t>keyboard</t>
  </si>
  <si>
    <t>cd drive</t>
  </si>
  <si>
    <t>Intel processor</t>
  </si>
  <si>
    <t>AMD processor</t>
  </si>
  <si>
    <t>SSD</t>
  </si>
  <si>
    <t>UPS</t>
  </si>
  <si>
    <t>Finished</t>
  </si>
  <si>
    <t>ordered</t>
  </si>
  <si>
    <t>balance</t>
  </si>
  <si>
    <t>Daily Total</t>
  </si>
  <si>
    <t>Hr</t>
  </si>
  <si>
    <t>software eng</t>
  </si>
  <si>
    <t>teal lead</t>
  </si>
  <si>
    <t>Manager</t>
  </si>
  <si>
    <t>developer</t>
  </si>
  <si>
    <t>tester</t>
  </si>
  <si>
    <t>scrum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</si>
</sst>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Green]#&quot; Days remaining&quot;;[Red]#&quot; Today&quot;;[Cyan]#&quot;days over due&quot;"/>
    <numFmt numFmtId="166" formatCode="@* &quot;:&quot;"/>
    <numFmt numFmtId="167" formatCode="d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48"/>
      <color theme="1"/>
      <name val="Playbill"/>
      <family val="5"/>
    </font>
    <font>
      <sz val="11"/>
      <color theme="4" tint="0.59999389629810485"/>
      <name val="Playbill"/>
      <family val="5"/>
    </font>
    <font>
      <sz val="11"/>
      <color rgb="FF00B050"/>
      <name val="Playbill"/>
      <family val="5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22"/>
      <color theme="4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15" fontId="0" fillId="3" borderId="0" xfId="0" applyNumberFormat="1" applyFill="1"/>
    <xf numFmtId="164" fontId="0" fillId="0" borderId="0" xfId="0" applyNumberFormat="1"/>
    <xf numFmtId="0" fontId="0" fillId="0" borderId="1" xfId="0" applyBorder="1"/>
    <xf numFmtId="0" fontId="0" fillId="0" borderId="3" xfId="0" applyBorder="1"/>
    <xf numFmtId="0" fontId="1" fillId="0" borderId="1" xfId="0" applyFont="1" applyBorder="1"/>
    <xf numFmtId="0" fontId="2" fillId="4" borderId="1" xfId="0" applyFont="1" applyFill="1" applyBorder="1" applyAlignment="1">
      <alignment vertical="center"/>
    </xf>
    <xf numFmtId="0" fontId="3" fillId="0" borderId="1" xfId="0" applyFont="1" applyBorder="1"/>
    <xf numFmtId="15" fontId="3" fillId="0" borderId="1" xfId="0" applyNumberFormat="1" applyFont="1" applyBorder="1"/>
    <xf numFmtId="165" fontId="0" fillId="0" borderId="0" xfId="0" applyNumberFormat="1"/>
    <xf numFmtId="0" fontId="4" fillId="0" borderId="0" xfId="0" applyFont="1"/>
    <xf numFmtId="0" fontId="5" fillId="5" borderId="0" xfId="0" applyFont="1" applyFill="1"/>
    <xf numFmtId="0" fontId="6" fillId="5" borderId="0" xfId="0" applyFont="1" applyFill="1"/>
    <xf numFmtId="14" fontId="0" fillId="0" borderId="0" xfId="0" applyNumberFormat="1"/>
    <xf numFmtId="166" fontId="0" fillId="0" borderId="0" xfId="0" applyNumberFormat="1"/>
    <xf numFmtId="0" fontId="8" fillId="5" borderId="0" xfId="0" applyFont="1" applyFill="1" applyAlignment="1">
      <alignment vertical="center" wrapText="1"/>
    </xf>
    <xf numFmtId="15" fontId="0" fillId="0" borderId="0" xfId="0" applyNumberFormat="1"/>
    <xf numFmtId="0" fontId="11" fillId="0" borderId="1" xfId="0" applyFont="1" applyBorder="1"/>
    <xf numFmtId="0" fontId="7" fillId="0" borderId="1" xfId="0" applyFont="1" applyBorder="1"/>
    <xf numFmtId="167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14" fontId="9" fillId="8" borderId="4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B3FF-0AC2-4015-8025-98544A7784BF}">
  <sheetPr codeName="Sheet11">
    <tabColor rgb="FFFF0000"/>
  </sheetPr>
  <dimension ref="A1:H24"/>
  <sheetViews>
    <sheetView topLeftCell="A10" zoomScale="150" zoomScaleNormal="150" workbookViewId="0">
      <selection activeCell="A17" sqref="A17"/>
    </sheetView>
  </sheetViews>
  <sheetFormatPr defaultRowHeight="14.4" x14ac:dyDescent="0.3"/>
  <cols>
    <col min="1" max="1" width="10.88671875" bestFit="1" customWidth="1"/>
    <col min="2" max="2" width="11.44140625" bestFit="1" customWidth="1"/>
    <col min="3" max="3" width="12.109375" customWidth="1"/>
    <col min="4" max="4" width="9.5546875" bestFit="1" customWidth="1"/>
    <col min="8" max="8" width="36.21875" customWidth="1"/>
  </cols>
  <sheetData>
    <row r="1" spans="1:8" x14ac:dyDescent="0.3">
      <c r="A1" t="s">
        <v>43</v>
      </c>
      <c r="B1" t="s">
        <v>47</v>
      </c>
      <c r="C1" t="s">
        <v>48</v>
      </c>
      <c r="D1" t="s">
        <v>49</v>
      </c>
    </row>
    <row r="2" spans="1:8" x14ac:dyDescent="0.3">
      <c r="A2" t="s">
        <v>34</v>
      </c>
      <c r="B2">
        <v>10</v>
      </c>
      <c r="C2">
        <v>20</v>
      </c>
      <c r="D2">
        <v>30</v>
      </c>
    </row>
    <row r="3" spans="1:8" x14ac:dyDescent="0.3">
      <c r="A3" t="s">
        <v>37</v>
      </c>
      <c r="B3">
        <v>20</v>
      </c>
      <c r="C3">
        <v>30</v>
      </c>
      <c r="D3">
        <v>40</v>
      </c>
    </row>
    <row r="4" spans="1:8" x14ac:dyDescent="0.3">
      <c r="A4" t="s">
        <v>46</v>
      </c>
      <c r="B4">
        <v>30</v>
      </c>
      <c r="C4">
        <v>40</v>
      </c>
      <c r="D4">
        <v>50</v>
      </c>
    </row>
    <row r="5" spans="1:8" x14ac:dyDescent="0.3">
      <c r="A5" t="s">
        <v>38</v>
      </c>
      <c r="B5">
        <v>40</v>
      </c>
      <c r="C5">
        <v>50</v>
      </c>
      <c r="D5">
        <v>60</v>
      </c>
    </row>
    <row r="6" spans="1:8" x14ac:dyDescent="0.3">
      <c r="A6" t="s">
        <v>50</v>
      </c>
      <c r="B6">
        <v>50</v>
      </c>
      <c r="C6">
        <v>60</v>
      </c>
      <c r="D6">
        <v>70</v>
      </c>
    </row>
    <row r="8" spans="1:8" x14ac:dyDescent="0.3">
      <c r="A8" t="s">
        <v>51</v>
      </c>
      <c r="B8" t="s">
        <v>52</v>
      </c>
    </row>
    <row r="9" spans="1:8" x14ac:dyDescent="0.3">
      <c r="A9" t="s">
        <v>50</v>
      </c>
      <c r="B9" cm="1">
        <f t="array" ref="B9">SUM(VLOOKUP(A9,A2:D6,{2,3,4},FALSE))</f>
        <v>180</v>
      </c>
    </row>
    <row r="12" spans="1:8" x14ac:dyDescent="0.3">
      <c r="A12" t="s">
        <v>43</v>
      </c>
      <c r="B12" t="s">
        <v>53</v>
      </c>
      <c r="C12" t="s">
        <v>54</v>
      </c>
      <c r="D12" s="17"/>
    </row>
    <row r="13" spans="1:8" x14ac:dyDescent="0.3">
      <c r="A13" t="s">
        <v>34</v>
      </c>
      <c r="B13" s="14">
        <v>25904</v>
      </c>
      <c r="C13" t="e" cm="1">
        <f t="array" ref="C13">A16sony</f>
        <v>#NAME?</v>
      </c>
    </row>
    <row r="14" spans="1:8" ht="28.8" x14ac:dyDescent="0.3">
      <c r="A14" t="s">
        <v>59</v>
      </c>
      <c r="B14" s="14">
        <v>6305</v>
      </c>
      <c r="C14">
        <f t="shared" ref="C14:C16" ca="1" si="0">DATEDIF(B14,TODAY(),"y")</f>
        <v>107</v>
      </c>
      <c r="H14" s="16" t="s">
        <v>58</v>
      </c>
    </row>
    <row r="15" spans="1:8" x14ac:dyDescent="0.3">
      <c r="A15" t="s">
        <v>60</v>
      </c>
      <c r="B15" s="14">
        <v>18602</v>
      </c>
      <c r="C15">
        <f t="shared" ca="1" si="0"/>
        <v>74</v>
      </c>
    </row>
    <row r="16" spans="1:8" x14ac:dyDescent="0.3">
      <c r="A16" t="s">
        <v>61</v>
      </c>
      <c r="B16" s="14">
        <v>16803</v>
      </c>
      <c r="C16">
        <f t="shared" ca="1" si="0"/>
        <v>79</v>
      </c>
      <c r="H16" s="15" t="s">
        <v>43</v>
      </c>
    </row>
    <row r="17" spans="3:8" x14ac:dyDescent="0.3">
      <c r="H17" s="15" t="s">
        <v>54</v>
      </c>
    </row>
    <row r="18" spans="3:8" x14ac:dyDescent="0.3">
      <c r="C18" s="14"/>
      <c r="H18" s="15" t="s">
        <v>55</v>
      </c>
    </row>
    <row r="19" spans="3:8" x14ac:dyDescent="0.3">
      <c r="H19" s="15" t="s">
        <v>56</v>
      </c>
    </row>
    <row r="20" spans="3:8" x14ac:dyDescent="0.3">
      <c r="H20" s="15" t="s">
        <v>57</v>
      </c>
    </row>
    <row r="24" spans="3:8" x14ac:dyDescent="0.3">
      <c r="H24" s="3"/>
    </row>
  </sheetData>
  <dataValidations disablePrompts="1" count="1">
    <dataValidation type="list" allowBlank="1" showInputMessage="1" showErrorMessage="1" sqref="A9" xr:uid="{7E531E9A-3B88-46E2-A7DB-6A0F8EB65858}">
      <formula1>$A$2:$A$6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4917-9149-466D-84FA-E77DAF72980C}">
  <sheetPr codeName="Sheet6">
    <tabColor theme="2" tint="-0.249977111117893"/>
  </sheetPr>
  <dimension ref="A3:B10"/>
  <sheetViews>
    <sheetView workbookViewId="0">
      <selection activeCell="A4" sqref="A4:B10"/>
    </sheetView>
  </sheetViews>
  <sheetFormatPr defaultRowHeight="14.4" x14ac:dyDescent="0.3"/>
  <cols>
    <col min="2" max="2" width="12" bestFit="1" customWidth="1"/>
  </cols>
  <sheetData>
    <row r="3" spans="1:2" x14ac:dyDescent="0.3">
      <c r="A3" t="s">
        <v>43</v>
      </c>
      <c r="B3" t="s">
        <v>62</v>
      </c>
    </row>
    <row r="4" spans="1:2" x14ac:dyDescent="0.3">
      <c r="A4" t="s">
        <v>34</v>
      </c>
      <c r="B4" t="s">
        <v>96</v>
      </c>
    </row>
    <row r="5" spans="1:2" x14ac:dyDescent="0.3">
      <c r="A5" t="s">
        <v>63</v>
      </c>
      <c r="B5" t="s">
        <v>97</v>
      </c>
    </row>
    <row r="6" spans="1:2" x14ac:dyDescent="0.3">
      <c r="A6" t="s">
        <v>40</v>
      </c>
      <c r="B6" t="s">
        <v>98</v>
      </c>
    </row>
    <row r="7" spans="1:2" x14ac:dyDescent="0.3">
      <c r="A7" t="s">
        <v>39</v>
      </c>
      <c r="B7" t="s">
        <v>99</v>
      </c>
    </row>
    <row r="8" spans="1:2" x14ac:dyDescent="0.3">
      <c r="A8" t="s">
        <v>41</v>
      </c>
      <c r="B8" t="s">
        <v>100</v>
      </c>
    </row>
    <row r="9" spans="1:2" x14ac:dyDescent="0.3">
      <c r="A9" t="s">
        <v>64</v>
      </c>
      <c r="B9" t="s">
        <v>101</v>
      </c>
    </row>
    <row r="10" spans="1:2" x14ac:dyDescent="0.3">
      <c r="A10" t="s">
        <v>65</v>
      </c>
      <c r="B10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FD9B-2712-451D-A684-5BE72FF3F22F}">
  <sheetPr codeName="Sheet7"/>
  <dimension ref="A1:AK16"/>
  <sheetViews>
    <sheetView workbookViewId="0">
      <selection activeCell="Q22" sqref="Q22"/>
    </sheetView>
  </sheetViews>
  <sheetFormatPr defaultRowHeight="14.4" x14ac:dyDescent="0.3"/>
  <cols>
    <col min="1" max="1" width="5.21875" bestFit="1" customWidth="1"/>
    <col min="2" max="2" width="15.33203125" bestFit="1" customWidth="1"/>
    <col min="3" max="3" width="4.21875" customWidth="1"/>
    <col min="4" max="33" width="4.88671875" customWidth="1"/>
  </cols>
  <sheetData>
    <row r="1" spans="1:37" ht="28.8" x14ac:dyDescent="0.3">
      <c r="A1" s="31" t="s">
        <v>66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 t="s">
        <v>70</v>
      </c>
      <c r="O1" s="32"/>
      <c r="P1" s="32"/>
      <c r="Q1" s="32"/>
      <c r="R1" s="32"/>
      <c r="S1" s="32"/>
      <c r="T1" s="33">
        <f>DATEVALUE("1"&amp;N1)</f>
        <v>45352</v>
      </c>
      <c r="U1" s="33"/>
      <c r="V1" s="33"/>
      <c r="W1" s="33"/>
      <c r="X1" s="33"/>
      <c r="Y1" s="33"/>
      <c r="Z1" s="33"/>
      <c r="AA1" s="34" t="s">
        <v>80</v>
      </c>
      <c r="AB1" s="34"/>
      <c r="AC1" s="33">
        <f>EOMONTH(T1,0)</f>
        <v>45382</v>
      </c>
      <c r="AD1" s="33"/>
      <c r="AE1" s="33"/>
      <c r="AF1" s="33"/>
      <c r="AG1" s="33"/>
    </row>
    <row r="2" spans="1:37" x14ac:dyDescent="0.3">
      <c r="A2" s="19"/>
      <c r="B2" s="19"/>
      <c r="C2" s="19" t="str">
        <f>TEXT(C3,"DDD")</f>
        <v>Fri</v>
      </c>
      <c r="D2" s="19" t="str">
        <f t="shared" ref="D2:AG2" si="0">TEXT(D3,"DDD")</f>
        <v>Sat</v>
      </c>
      <c r="E2" s="19" t="str">
        <f t="shared" si="0"/>
        <v>Sun</v>
      </c>
      <c r="F2" s="19" t="str">
        <f t="shared" si="0"/>
        <v>Mon</v>
      </c>
      <c r="G2" s="19" t="str">
        <f t="shared" si="0"/>
        <v>Tue</v>
      </c>
      <c r="H2" s="19" t="str">
        <f t="shared" si="0"/>
        <v>Wed</v>
      </c>
      <c r="I2" s="19" t="str">
        <f t="shared" si="0"/>
        <v>Thu</v>
      </c>
      <c r="J2" s="19" t="str">
        <f t="shared" si="0"/>
        <v>Fri</v>
      </c>
      <c r="K2" s="19" t="str">
        <f t="shared" si="0"/>
        <v>Sat</v>
      </c>
      <c r="L2" s="19" t="str">
        <f t="shared" si="0"/>
        <v>Sun</v>
      </c>
      <c r="M2" s="19" t="str">
        <f t="shared" si="0"/>
        <v>Mon</v>
      </c>
      <c r="N2" s="19" t="str">
        <f t="shared" si="0"/>
        <v>Tue</v>
      </c>
      <c r="O2" s="19" t="str">
        <f t="shared" si="0"/>
        <v>Wed</v>
      </c>
      <c r="P2" s="19" t="str">
        <f t="shared" si="0"/>
        <v>Thu</v>
      </c>
      <c r="Q2" s="19" t="str">
        <f t="shared" si="0"/>
        <v>Fri</v>
      </c>
      <c r="R2" s="19" t="str">
        <f t="shared" si="0"/>
        <v>Sat</v>
      </c>
      <c r="S2" s="19" t="str">
        <f t="shared" si="0"/>
        <v>Sun</v>
      </c>
      <c r="T2" s="19" t="str">
        <f t="shared" si="0"/>
        <v>Mon</v>
      </c>
      <c r="U2" s="19" t="str">
        <f t="shared" si="0"/>
        <v>Tue</v>
      </c>
      <c r="V2" s="19" t="str">
        <f t="shared" si="0"/>
        <v>Wed</v>
      </c>
      <c r="W2" s="19" t="str">
        <f t="shared" si="0"/>
        <v>Thu</v>
      </c>
      <c r="X2" s="19" t="str">
        <f t="shared" si="0"/>
        <v>Fri</v>
      </c>
      <c r="Y2" s="19" t="str">
        <f t="shared" si="0"/>
        <v>Sat</v>
      </c>
      <c r="Z2" s="19" t="str">
        <f t="shared" si="0"/>
        <v>Sun</v>
      </c>
      <c r="AA2" s="19" t="str">
        <f t="shared" si="0"/>
        <v>Mon</v>
      </c>
      <c r="AB2" s="19" t="str">
        <f t="shared" si="0"/>
        <v>Tue</v>
      </c>
      <c r="AC2" s="19" t="str">
        <f t="shared" si="0"/>
        <v>Wed</v>
      </c>
      <c r="AD2" s="19" t="str">
        <f t="shared" si="0"/>
        <v>Thu</v>
      </c>
      <c r="AE2" s="19" t="str">
        <f t="shared" si="0"/>
        <v>Fri</v>
      </c>
      <c r="AF2" s="19" t="str">
        <f t="shared" si="0"/>
        <v>Sat</v>
      </c>
      <c r="AG2" s="19" t="str">
        <f t="shared" si="0"/>
        <v>Sun</v>
      </c>
      <c r="AH2" s="30" t="s">
        <v>92</v>
      </c>
      <c r="AI2" s="30" t="s">
        <v>93</v>
      </c>
      <c r="AJ2" s="30" t="s">
        <v>94</v>
      </c>
    </row>
    <row r="3" spans="1:37" ht="15.6" x14ac:dyDescent="0.3">
      <c r="A3" s="26" t="s">
        <v>1</v>
      </c>
      <c r="B3" s="27" t="s">
        <v>81</v>
      </c>
      <c r="C3" s="20">
        <f>T1</f>
        <v>45352</v>
      </c>
      <c r="D3" s="20">
        <f>IF(C3&lt;$AC$1,C3+1," ")</f>
        <v>45353</v>
      </c>
      <c r="E3" s="20">
        <f t="shared" ref="E3:AG3" si="1">IF(D3&lt;$AC$1,D3+1," ")</f>
        <v>45354</v>
      </c>
      <c r="F3" s="20">
        <f t="shared" si="1"/>
        <v>45355</v>
      </c>
      <c r="G3" s="20">
        <f t="shared" si="1"/>
        <v>45356</v>
      </c>
      <c r="H3" s="20">
        <f t="shared" si="1"/>
        <v>45357</v>
      </c>
      <c r="I3" s="20">
        <f t="shared" si="1"/>
        <v>45358</v>
      </c>
      <c r="J3" s="20">
        <f t="shared" si="1"/>
        <v>45359</v>
      </c>
      <c r="K3" s="20">
        <f t="shared" si="1"/>
        <v>45360</v>
      </c>
      <c r="L3" s="20">
        <f t="shared" si="1"/>
        <v>45361</v>
      </c>
      <c r="M3" s="20">
        <f t="shared" si="1"/>
        <v>45362</v>
      </c>
      <c r="N3" s="20">
        <f t="shared" si="1"/>
        <v>45363</v>
      </c>
      <c r="O3" s="20">
        <f t="shared" si="1"/>
        <v>45364</v>
      </c>
      <c r="P3" s="20">
        <f t="shared" si="1"/>
        <v>45365</v>
      </c>
      <c r="Q3" s="20">
        <f t="shared" si="1"/>
        <v>45366</v>
      </c>
      <c r="R3" s="20">
        <f t="shared" si="1"/>
        <v>45367</v>
      </c>
      <c r="S3" s="20">
        <f t="shared" si="1"/>
        <v>45368</v>
      </c>
      <c r="T3" s="20">
        <f t="shared" si="1"/>
        <v>45369</v>
      </c>
      <c r="U3" s="20">
        <f t="shared" si="1"/>
        <v>45370</v>
      </c>
      <c r="V3" s="20">
        <f t="shared" si="1"/>
        <v>45371</v>
      </c>
      <c r="W3" s="20">
        <f t="shared" si="1"/>
        <v>45372</v>
      </c>
      <c r="X3" s="20">
        <f t="shared" si="1"/>
        <v>45373</v>
      </c>
      <c r="Y3" s="20">
        <f t="shared" si="1"/>
        <v>45374</v>
      </c>
      <c r="Z3" s="20">
        <f t="shared" si="1"/>
        <v>45375</v>
      </c>
      <c r="AA3" s="20">
        <f t="shared" si="1"/>
        <v>45376</v>
      </c>
      <c r="AB3" s="20">
        <f t="shared" si="1"/>
        <v>45377</v>
      </c>
      <c r="AC3" s="20">
        <f t="shared" si="1"/>
        <v>45378</v>
      </c>
      <c r="AD3" s="20">
        <f t="shared" si="1"/>
        <v>45379</v>
      </c>
      <c r="AE3" s="20">
        <f t="shared" si="1"/>
        <v>45380</v>
      </c>
      <c r="AF3" s="20">
        <f t="shared" si="1"/>
        <v>45381</v>
      </c>
      <c r="AG3" s="20">
        <f t="shared" si="1"/>
        <v>45382</v>
      </c>
      <c r="AH3" s="30"/>
      <c r="AI3" s="30"/>
      <c r="AJ3" s="30"/>
    </row>
    <row r="4" spans="1:37" ht="15.6" x14ac:dyDescent="0.3">
      <c r="A4" s="26">
        <v>1</v>
      </c>
      <c r="B4" s="27" t="s">
        <v>82</v>
      </c>
      <c r="C4" s="21">
        <v>50</v>
      </c>
      <c r="D4" s="21">
        <v>50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2"/>
      <c r="AH4" s="28">
        <f>SUM(C4:AG4)</f>
        <v>100</v>
      </c>
      <c r="AI4" s="28">
        <v>1000</v>
      </c>
      <c r="AJ4" s="29">
        <f>AI4-AH4</f>
        <v>900</v>
      </c>
      <c r="AK4" t="s">
        <v>67</v>
      </c>
    </row>
    <row r="5" spans="1:37" ht="15.6" x14ac:dyDescent="0.3">
      <c r="A5" s="26">
        <v>2</v>
      </c>
      <c r="B5" s="27" t="s">
        <v>83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2"/>
      <c r="AH5" s="28">
        <f t="shared" ref="AH5:AH13" si="2">SUM(C5:AG5)</f>
        <v>0</v>
      </c>
      <c r="AI5" s="28">
        <v>1000</v>
      </c>
      <c r="AJ5" s="29">
        <f t="shared" ref="AJ5:AJ13" si="3">AI5-AH5</f>
        <v>1000</v>
      </c>
      <c r="AK5" t="s">
        <v>68</v>
      </c>
    </row>
    <row r="6" spans="1:37" ht="15.6" x14ac:dyDescent="0.3">
      <c r="A6" s="26">
        <v>3</v>
      </c>
      <c r="B6" s="27" t="s">
        <v>90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2"/>
      <c r="AH6" s="28">
        <f t="shared" si="2"/>
        <v>0</v>
      </c>
      <c r="AI6" s="28">
        <v>1000</v>
      </c>
      <c r="AJ6" s="29">
        <f t="shared" si="3"/>
        <v>1000</v>
      </c>
      <c r="AK6" t="s">
        <v>69</v>
      </c>
    </row>
    <row r="7" spans="1:37" ht="15.6" x14ac:dyDescent="0.3">
      <c r="A7" s="26">
        <v>4</v>
      </c>
      <c r="B7" s="27" t="s">
        <v>84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  <c r="AH7" s="28">
        <f t="shared" si="2"/>
        <v>0</v>
      </c>
      <c r="AI7" s="28">
        <v>1000</v>
      </c>
      <c r="AJ7" s="29">
        <f t="shared" si="3"/>
        <v>1000</v>
      </c>
      <c r="AK7" t="s">
        <v>70</v>
      </c>
    </row>
    <row r="8" spans="1:37" ht="15.6" x14ac:dyDescent="0.3">
      <c r="A8" s="26">
        <v>5</v>
      </c>
      <c r="B8" s="27" t="s">
        <v>85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  <c r="AH8" s="28">
        <f t="shared" si="2"/>
        <v>0</v>
      </c>
      <c r="AI8" s="28">
        <v>1000</v>
      </c>
      <c r="AJ8" s="29">
        <f t="shared" si="3"/>
        <v>1000</v>
      </c>
      <c r="AK8" t="s">
        <v>71</v>
      </c>
    </row>
    <row r="9" spans="1:37" ht="15.6" x14ac:dyDescent="0.3">
      <c r="A9" s="26">
        <v>6</v>
      </c>
      <c r="B9" s="27" t="s">
        <v>86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2"/>
      <c r="AH9" s="28">
        <f t="shared" si="2"/>
        <v>0</v>
      </c>
      <c r="AI9" s="28">
        <v>1000</v>
      </c>
      <c r="AJ9" s="29">
        <f t="shared" si="3"/>
        <v>1000</v>
      </c>
      <c r="AK9" t="s">
        <v>72</v>
      </c>
    </row>
    <row r="10" spans="1:37" ht="15.6" x14ac:dyDescent="0.3">
      <c r="A10" s="26">
        <v>7</v>
      </c>
      <c r="B10" s="27" t="s">
        <v>87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2"/>
      <c r="AH10" s="28">
        <f t="shared" si="2"/>
        <v>0</v>
      </c>
      <c r="AI10" s="28">
        <v>1000</v>
      </c>
      <c r="AJ10" s="29">
        <f t="shared" si="3"/>
        <v>1000</v>
      </c>
      <c r="AK10" t="s">
        <v>73</v>
      </c>
    </row>
    <row r="11" spans="1:37" ht="15.6" x14ac:dyDescent="0.3">
      <c r="A11" s="26">
        <v>8</v>
      </c>
      <c r="B11" s="27" t="s">
        <v>91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2"/>
      <c r="AH11" s="28">
        <f t="shared" si="2"/>
        <v>0</v>
      </c>
      <c r="AI11" s="28">
        <v>1000</v>
      </c>
      <c r="AJ11" s="29">
        <f t="shared" si="3"/>
        <v>1000</v>
      </c>
      <c r="AK11" t="s">
        <v>74</v>
      </c>
    </row>
    <row r="12" spans="1:37" ht="15.6" x14ac:dyDescent="0.3">
      <c r="A12" s="26">
        <v>9</v>
      </c>
      <c r="B12" s="27" t="s">
        <v>88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2"/>
      <c r="AH12" s="28">
        <f t="shared" si="2"/>
        <v>0</v>
      </c>
      <c r="AI12" s="28">
        <v>1000</v>
      </c>
      <c r="AJ12" s="29">
        <f t="shared" si="3"/>
        <v>1000</v>
      </c>
      <c r="AK12" t="s">
        <v>75</v>
      </c>
    </row>
    <row r="13" spans="1:37" ht="15.6" x14ac:dyDescent="0.3">
      <c r="A13" s="26">
        <v>10</v>
      </c>
      <c r="B13" s="27" t="s">
        <v>89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2"/>
      <c r="AH13" s="28">
        <f t="shared" si="2"/>
        <v>0</v>
      </c>
      <c r="AI13" s="28">
        <v>1000</v>
      </c>
      <c r="AJ13" s="29">
        <f t="shared" si="3"/>
        <v>1000</v>
      </c>
      <c r="AK13" t="s">
        <v>76</v>
      </c>
    </row>
    <row r="14" spans="1:37" ht="15.6" x14ac:dyDescent="0.3">
      <c r="A14" s="19"/>
      <c r="B14" s="18" t="s">
        <v>95</v>
      </c>
      <c r="C14" s="24">
        <f>SUM(C4:C13)</f>
        <v>50</v>
      </c>
      <c r="D14" s="24">
        <f t="shared" ref="D14:AG14" si="4">SUM(D4:D13)</f>
        <v>50</v>
      </c>
      <c r="E14" s="24">
        <f t="shared" si="4"/>
        <v>0</v>
      </c>
      <c r="F14" s="24">
        <f t="shared" si="4"/>
        <v>0</v>
      </c>
      <c r="G14" s="24">
        <f t="shared" si="4"/>
        <v>0</v>
      </c>
      <c r="H14" s="24">
        <f t="shared" si="4"/>
        <v>0</v>
      </c>
      <c r="I14" s="24">
        <f t="shared" si="4"/>
        <v>0</v>
      </c>
      <c r="J14" s="24">
        <f t="shared" si="4"/>
        <v>0</v>
      </c>
      <c r="K14" s="24">
        <f t="shared" si="4"/>
        <v>0</v>
      </c>
      <c r="L14" s="24">
        <f t="shared" si="4"/>
        <v>0</v>
      </c>
      <c r="M14" s="24">
        <f t="shared" si="4"/>
        <v>0</v>
      </c>
      <c r="N14" s="24">
        <f t="shared" si="4"/>
        <v>0</v>
      </c>
      <c r="O14" s="24">
        <f t="shared" si="4"/>
        <v>0</v>
      </c>
      <c r="P14" s="24">
        <f t="shared" si="4"/>
        <v>0</v>
      </c>
      <c r="Q14" s="24">
        <f t="shared" si="4"/>
        <v>0</v>
      </c>
      <c r="R14" s="24">
        <f t="shared" si="4"/>
        <v>0</v>
      </c>
      <c r="S14" s="24">
        <f t="shared" si="4"/>
        <v>0</v>
      </c>
      <c r="T14" s="24">
        <f t="shared" si="4"/>
        <v>0</v>
      </c>
      <c r="U14" s="24">
        <f t="shared" si="4"/>
        <v>0</v>
      </c>
      <c r="V14" s="24">
        <f t="shared" si="4"/>
        <v>0</v>
      </c>
      <c r="W14" s="24">
        <f t="shared" si="4"/>
        <v>0</v>
      </c>
      <c r="X14" s="24">
        <f t="shared" si="4"/>
        <v>0</v>
      </c>
      <c r="Y14" s="24">
        <f t="shared" si="4"/>
        <v>0</v>
      </c>
      <c r="Z14" s="24">
        <f t="shared" si="4"/>
        <v>0</v>
      </c>
      <c r="AA14" s="24">
        <f t="shared" si="4"/>
        <v>0</v>
      </c>
      <c r="AB14" s="24">
        <f t="shared" si="4"/>
        <v>0</v>
      </c>
      <c r="AC14" s="24">
        <f t="shared" si="4"/>
        <v>0</v>
      </c>
      <c r="AD14" s="24">
        <f t="shared" si="4"/>
        <v>0</v>
      </c>
      <c r="AE14" s="24">
        <f t="shared" si="4"/>
        <v>0</v>
      </c>
      <c r="AF14" s="24">
        <f t="shared" si="4"/>
        <v>0</v>
      </c>
      <c r="AG14" s="24">
        <f t="shared" si="4"/>
        <v>0</v>
      </c>
      <c r="AH14" s="24">
        <f>SUM(AH4:AH13)</f>
        <v>100</v>
      </c>
      <c r="AI14" s="24">
        <f>SUM(AI4:AI13)</f>
        <v>10000</v>
      </c>
      <c r="AJ14" s="24">
        <f>SUM(AJ4:AJ13)</f>
        <v>9900</v>
      </c>
      <c r="AK14" t="s">
        <v>77</v>
      </c>
    </row>
    <row r="15" spans="1:37" x14ac:dyDescent="0.3">
      <c r="AK15" t="s">
        <v>78</v>
      </c>
    </row>
    <row r="16" spans="1:37" x14ac:dyDescent="0.3">
      <c r="AK16" t="s">
        <v>79</v>
      </c>
    </row>
  </sheetData>
  <mergeCells count="8">
    <mergeCell ref="AI2:AI3"/>
    <mergeCell ref="AJ2:AJ3"/>
    <mergeCell ref="A1:M1"/>
    <mergeCell ref="N1:S1"/>
    <mergeCell ref="T1:Z1"/>
    <mergeCell ref="AA1:AB1"/>
    <mergeCell ref="AC1:AG1"/>
    <mergeCell ref="AH2:AH3"/>
  </mergeCells>
  <phoneticPr fontId="10" type="noConversion"/>
  <conditionalFormatting sqref="C2:AG2">
    <cfRule type="containsText" dxfId="7" priority="1" operator="containsText" text="SAT">
      <formula>NOT(ISERROR(SEARCH("SAT",C2)))</formula>
    </cfRule>
    <cfRule type="containsText" dxfId="6" priority="2" operator="containsText" text="SAT">
      <formula>NOT(ISERROR(SEARCH("SAT",C2)))</formula>
    </cfRule>
    <cfRule type="containsText" dxfId="5" priority="3" operator="containsText" text="SUN">
      <formula>NOT(ISERROR(SEARCH("SUN",C2)))</formula>
    </cfRule>
    <cfRule type="containsText" dxfId="4" priority="4" operator="containsText" text="SUN,SAT">
      <formula>NOT(ISERROR(SEARCH("SUN,SAT",C2)))</formula>
    </cfRule>
  </conditionalFormatting>
  <dataValidations count="1">
    <dataValidation type="list" allowBlank="1" showInputMessage="1" showErrorMessage="1" sqref="N1:S1" xr:uid="{D0EC5331-7774-487B-9D3D-249E15B50B1A}">
      <formula1>Months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F940-4592-438C-A51C-F889AEE905A6}">
  <sheetPr codeName="Sheet2">
    <tabColor theme="8"/>
  </sheetPr>
  <dimension ref="A1:B33"/>
  <sheetViews>
    <sheetView zoomScale="141" zoomScaleNormal="141" workbookViewId="0">
      <selection activeCell="B4" sqref="B4"/>
    </sheetView>
  </sheetViews>
  <sheetFormatPr defaultRowHeight="14.4" x14ac:dyDescent="0.3"/>
  <cols>
    <col min="1" max="1" width="16.109375" customWidth="1"/>
    <col min="2" max="2" width="17.33203125" bestFit="1" customWidth="1"/>
    <col min="7" max="7" width="24.109375" bestFit="1" customWidth="1"/>
  </cols>
  <sheetData>
    <row r="1" spans="1:2" x14ac:dyDescent="0.3">
      <c r="A1" s="1" t="s">
        <v>0</v>
      </c>
      <c r="B1" s="2">
        <v>45627</v>
      </c>
    </row>
    <row r="3" spans="1:2" x14ac:dyDescent="0.3">
      <c r="A3" t="s">
        <v>1</v>
      </c>
      <c r="B3" t="s">
        <v>2</v>
      </c>
    </row>
    <row r="4" spans="1:2" x14ac:dyDescent="0.3">
      <c r="A4">
        <v>1</v>
      </c>
      <c r="B4" s="3" cm="1">
        <f t="array" ref="B4:B33">WORKDAY.INTL(B1,_xlfn.SEQUENCE(30),1)</f>
        <v>45628</v>
      </c>
    </row>
    <row r="5" spans="1:2" x14ac:dyDescent="0.3">
      <c r="A5">
        <v>2</v>
      </c>
      <c r="B5" s="3">
        <v>45629</v>
      </c>
    </row>
    <row r="6" spans="1:2" x14ac:dyDescent="0.3">
      <c r="A6">
        <v>3</v>
      </c>
      <c r="B6" s="3">
        <v>45630</v>
      </c>
    </row>
    <row r="7" spans="1:2" x14ac:dyDescent="0.3">
      <c r="A7">
        <v>4</v>
      </c>
      <c r="B7" s="3">
        <v>45631</v>
      </c>
    </row>
    <row r="8" spans="1:2" x14ac:dyDescent="0.3">
      <c r="A8">
        <v>5</v>
      </c>
      <c r="B8" s="3">
        <v>45632</v>
      </c>
    </row>
    <row r="9" spans="1:2" x14ac:dyDescent="0.3">
      <c r="A9">
        <v>6</v>
      </c>
      <c r="B9" s="3">
        <v>45635</v>
      </c>
    </row>
    <row r="10" spans="1:2" x14ac:dyDescent="0.3">
      <c r="A10">
        <v>7</v>
      </c>
      <c r="B10" s="3">
        <v>45636</v>
      </c>
    </row>
    <row r="11" spans="1:2" x14ac:dyDescent="0.3">
      <c r="A11">
        <v>8</v>
      </c>
      <c r="B11" s="3">
        <v>45637</v>
      </c>
    </row>
    <row r="12" spans="1:2" x14ac:dyDescent="0.3">
      <c r="A12">
        <v>9</v>
      </c>
      <c r="B12" s="3">
        <v>45638</v>
      </c>
    </row>
    <row r="13" spans="1:2" x14ac:dyDescent="0.3">
      <c r="A13">
        <v>10</v>
      </c>
      <c r="B13" s="3">
        <v>45639</v>
      </c>
    </row>
    <row r="14" spans="1:2" x14ac:dyDescent="0.3">
      <c r="A14">
        <v>11</v>
      </c>
      <c r="B14" s="3">
        <v>45642</v>
      </c>
    </row>
    <row r="15" spans="1:2" x14ac:dyDescent="0.3">
      <c r="A15">
        <v>12</v>
      </c>
      <c r="B15" s="3">
        <v>45643</v>
      </c>
    </row>
    <row r="16" spans="1:2" x14ac:dyDescent="0.3">
      <c r="A16">
        <v>13</v>
      </c>
      <c r="B16" s="3">
        <v>45644</v>
      </c>
    </row>
    <row r="17" spans="1:2" x14ac:dyDescent="0.3">
      <c r="A17">
        <v>14</v>
      </c>
      <c r="B17" s="3">
        <v>45645</v>
      </c>
    </row>
    <row r="18" spans="1:2" x14ac:dyDescent="0.3">
      <c r="A18">
        <v>15</v>
      </c>
      <c r="B18" s="3">
        <v>45646</v>
      </c>
    </row>
    <row r="19" spans="1:2" x14ac:dyDescent="0.3">
      <c r="A19">
        <v>16</v>
      </c>
      <c r="B19" s="3">
        <v>45649</v>
      </c>
    </row>
    <row r="20" spans="1:2" x14ac:dyDescent="0.3">
      <c r="A20">
        <v>17</v>
      </c>
      <c r="B20" s="3">
        <v>45650</v>
      </c>
    </row>
    <row r="21" spans="1:2" x14ac:dyDescent="0.3">
      <c r="A21">
        <v>18</v>
      </c>
      <c r="B21" s="3">
        <v>45651</v>
      </c>
    </row>
    <row r="22" spans="1:2" x14ac:dyDescent="0.3">
      <c r="A22">
        <v>19</v>
      </c>
      <c r="B22" s="3">
        <v>45652</v>
      </c>
    </row>
    <row r="23" spans="1:2" x14ac:dyDescent="0.3">
      <c r="A23">
        <v>20</v>
      </c>
      <c r="B23" s="3">
        <v>45653</v>
      </c>
    </row>
    <row r="24" spans="1:2" x14ac:dyDescent="0.3">
      <c r="A24">
        <v>21</v>
      </c>
      <c r="B24" s="3">
        <v>45656</v>
      </c>
    </row>
    <row r="25" spans="1:2" x14ac:dyDescent="0.3">
      <c r="A25">
        <v>22</v>
      </c>
      <c r="B25" s="3">
        <v>45657</v>
      </c>
    </row>
    <row r="26" spans="1:2" x14ac:dyDescent="0.3">
      <c r="A26">
        <v>23</v>
      </c>
      <c r="B26" s="3">
        <v>45658</v>
      </c>
    </row>
    <row r="27" spans="1:2" x14ac:dyDescent="0.3">
      <c r="A27">
        <v>24</v>
      </c>
      <c r="B27" s="3">
        <v>45659</v>
      </c>
    </row>
    <row r="28" spans="1:2" x14ac:dyDescent="0.3">
      <c r="A28">
        <v>25</v>
      </c>
      <c r="B28" s="3">
        <v>45660</v>
      </c>
    </row>
    <row r="29" spans="1:2" x14ac:dyDescent="0.3">
      <c r="A29">
        <v>26</v>
      </c>
      <c r="B29" s="3">
        <v>45663</v>
      </c>
    </row>
    <row r="30" spans="1:2" x14ac:dyDescent="0.3">
      <c r="A30">
        <v>27</v>
      </c>
      <c r="B30" s="3">
        <v>45664</v>
      </c>
    </row>
    <row r="31" spans="1:2" x14ac:dyDescent="0.3">
      <c r="A31">
        <v>28</v>
      </c>
      <c r="B31" s="3">
        <v>45665</v>
      </c>
    </row>
    <row r="32" spans="1:2" x14ac:dyDescent="0.3">
      <c r="A32">
        <v>29</v>
      </c>
      <c r="B32" s="3">
        <v>45666</v>
      </c>
    </row>
    <row r="33" spans="1:2" x14ac:dyDescent="0.3">
      <c r="A33">
        <v>30</v>
      </c>
      <c r="B33" s="3">
        <v>45667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0430E-2DD0-4B80-886F-696DD3EA18E4}">
  <sheetPr codeName="Sheet3">
    <tabColor theme="9"/>
  </sheetPr>
  <dimension ref="A11:F20"/>
  <sheetViews>
    <sheetView workbookViewId="0">
      <selection activeCell="C13" sqref="C13"/>
    </sheetView>
  </sheetViews>
  <sheetFormatPr defaultRowHeight="14.4" x14ac:dyDescent="0.3"/>
  <cols>
    <col min="1" max="1" width="11.109375" customWidth="1"/>
    <col min="2" max="2" width="8.6640625" bestFit="1" customWidth="1"/>
    <col min="3" max="3" width="11.5546875" customWidth="1"/>
    <col min="5" max="5" width="12.5546875" customWidth="1"/>
  </cols>
  <sheetData>
    <row r="11" spans="1:6" x14ac:dyDescent="0.3">
      <c r="A11" s="35" t="s">
        <v>3</v>
      </c>
      <c r="B11" s="36"/>
      <c r="C11" s="35" t="s">
        <v>4</v>
      </c>
      <c r="D11" s="36"/>
      <c r="E11" s="35" t="s">
        <v>5</v>
      </c>
      <c r="F11" s="36"/>
    </row>
    <row r="12" spans="1:6" x14ac:dyDescent="0.3">
      <c r="A12" s="4" t="s">
        <v>6</v>
      </c>
      <c r="B12" s="4" t="s">
        <v>7</v>
      </c>
      <c r="C12" s="4" t="s">
        <v>8</v>
      </c>
      <c r="D12" s="4" t="s">
        <v>9</v>
      </c>
      <c r="E12" s="4" t="s">
        <v>10</v>
      </c>
      <c r="F12" s="4" t="s">
        <v>11</v>
      </c>
    </row>
    <row r="13" spans="1:6" x14ac:dyDescent="0.3">
      <c r="A13" s="4" t="s">
        <v>12</v>
      </c>
      <c r="B13" s="4">
        <v>1</v>
      </c>
      <c r="C13" s="4" t="str" cm="1">
        <f t="array" ref="C13:D17">_xlfn._xlws.FILTER(A13:B19,B13:B19&gt;0)</f>
        <v>cadbury</v>
      </c>
      <c r="D13" s="4">
        <v>1</v>
      </c>
      <c r="E13" s="4" t="str" cm="1">
        <f t="array" ref="E13:F14">_xlfn._xlws.FILTER(A13:B19,B13:B19=0)</f>
        <v>lolly pop</v>
      </c>
      <c r="F13" s="4">
        <v>0</v>
      </c>
    </row>
    <row r="14" spans="1:6" x14ac:dyDescent="0.3">
      <c r="A14" s="4" t="s">
        <v>13</v>
      </c>
      <c r="B14" s="4">
        <v>41</v>
      </c>
      <c r="C14" s="4" t="str">
        <v>kit kat</v>
      </c>
      <c r="D14" s="4">
        <v>41</v>
      </c>
      <c r="E14" s="4" t="str">
        <v>gems</v>
      </c>
      <c r="F14" s="4">
        <v>0</v>
      </c>
    </row>
    <row r="15" spans="1:6" x14ac:dyDescent="0.3">
      <c r="A15" s="4" t="s">
        <v>14</v>
      </c>
      <c r="B15" s="4">
        <v>0</v>
      </c>
      <c r="C15" s="4" t="str">
        <v>perk</v>
      </c>
      <c r="D15" s="4">
        <v>10</v>
      </c>
      <c r="E15" s="4"/>
      <c r="F15" s="4"/>
    </row>
    <row r="16" spans="1:6" x14ac:dyDescent="0.3">
      <c r="A16" s="4" t="s">
        <v>15</v>
      </c>
      <c r="B16" s="4">
        <v>0</v>
      </c>
      <c r="C16" s="4" t="str">
        <v>5 star</v>
      </c>
      <c r="D16" s="4">
        <v>1</v>
      </c>
      <c r="E16" s="6" t="s">
        <v>19</v>
      </c>
      <c r="F16" s="4"/>
    </row>
    <row r="17" spans="1:6" x14ac:dyDescent="0.3">
      <c r="A17" s="4" t="s">
        <v>16</v>
      </c>
      <c r="B17" s="4">
        <v>10</v>
      </c>
      <c r="C17" s="4" t="str">
        <v>munch</v>
      </c>
      <c r="D17" s="4">
        <v>60</v>
      </c>
      <c r="E17" s="4"/>
      <c r="F17" s="4"/>
    </row>
    <row r="18" spans="1:6" x14ac:dyDescent="0.3">
      <c r="A18" s="4" t="s">
        <v>17</v>
      </c>
      <c r="B18" s="4">
        <v>1</v>
      </c>
      <c r="C18" s="4"/>
      <c r="D18" s="4"/>
      <c r="E18" s="4"/>
      <c r="F18" s="4"/>
    </row>
    <row r="19" spans="1:6" x14ac:dyDescent="0.3">
      <c r="A19" s="4" t="s">
        <v>18</v>
      </c>
      <c r="B19" s="4">
        <v>60</v>
      </c>
      <c r="C19" s="4"/>
      <c r="D19" s="4"/>
      <c r="E19" s="4"/>
      <c r="F19" s="4"/>
    </row>
    <row r="20" spans="1:6" x14ac:dyDescent="0.3">
      <c r="A20" s="4"/>
      <c r="B20" s="4"/>
      <c r="C20" s="4"/>
      <c r="D20" s="4"/>
      <c r="E20" s="4"/>
      <c r="F20" s="4"/>
    </row>
  </sheetData>
  <mergeCells count="3">
    <mergeCell ref="A11:B11"/>
    <mergeCell ref="C11:D11"/>
    <mergeCell ref="E11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CADE-F8FF-4590-AE6B-06FB47A47AE0}">
  <sheetPr codeName="Sheet4">
    <tabColor rgb="FF7030A0"/>
  </sheetPr>
  <dimension ref="A1:H24"/>
  <sheetViews>
    <sheetView topLeftCell="A13" workbookViewId="0">
      <selection activeCell="C24" sqref="C24"/>
    </sheetView>
  </sheetViews>
  <sheetFormatPr defaultRowHeight="14.4" x14ac:dyDescent="0.3"/>
  <cols>
    <col min="1" max="1" width="28.6640625" bestFit="1" customWidth="1"/>
    <col min="2" max="2" width="16.88671875" bestFit="1" customWidth="1"/>
    <col min="3" max="3" width="54.5546875" customWidth="1"/>
    <col min="8" max="8" width="20.44140625" customWidth="1"/>
  </cols>
  <sheetData>
    <row r="1" spans="1:8" ht="22.2" customHeight="1" x14ac:dyDescent="0.3">
      <c r="A1" s="7" t="s">
        <v>20</v>
      </c>
      <c r="B1" s="7" t="s">
        <v>21</v>
      </c>
      <c r="C1" s="7" t="s">
        <v>22</v>
      </c>
    </row>
    <row r="2" spans="1:8" ht="25.8" x14ac:dyDescent="0.5">
      <c r="A2" s="8" t="s">
        <v>23</v>
      </c>
      <c r="B2" s="9">
        <v>45292</v>
      </c>
      <c r="C2" s="8">
        <f ca="1">B2-TODAY()</f>
        <v>-389</v>
      </c>
    </row>
    <row r="3" spans="1:8" ht="25.8" x14ac:dyDescent="0.5">
      <c r="A3" s="8" t="s">
        <v>24</v>
      </c>
      <c r="B3" s="9">
        <v>45634</v>
      </c>
      <c r="C3" s="8">
        <f t="shared" ref="C3:C11" ca="1" si="0">B3-TODAY()</f>
        <v>-47</v>
      </c>
    </row>
    <row r="4" spans="1:8" ht="25.8" x14ac:dyDescent="0.5">
      <c r="A4" s="8" t="s">
        <v>25</v>
      </c>
      <c r="B4" s="9">
        <v>45672</v>
      </c>
      <c r="C4" s="8">
        <f t="shared" ca="1" si="0"/>
        <v>-9</v>
      </c>
    </row>
    <row r="5" spans="1:8" ht="25.8" x14ac:dyDescent="0.5">
      <c r="A5" s="8" t="s">
        <v>26</v>
      </c>
      <c r="B5" s="9">
        <v>45311</v>
      </c>
      <c r="C5" s="8">
        <f t="shared" ca="1" si="0"/>
        <v>-370</v>
      </c>
    </row>
    <row r="6" spans="1:8" ht="25.8" x14ac:dyDescent="0.5">
      <c r="A6" s="8" t="s">
        <v>27</v>
      </c>
      <c r="B6" s="9">
        <v>45315</v>
      </c>
      <c r="C6" s="8">
        <f t="shared" ca="1" si="0"/>
        <v>-366</v>
      </c>
    </row>
    <row r="7" spans="1:8" ht="25.8" x14ac:dyDescent="0.5">
      <c r="A7" s="8" t="s">
        <v>28</v>
      </c>
      <c r="B7" s="9">
        <v>45321</v>
      </c>
      <c r="C7" s="8">
        <f t="shared" ca="1" si="0"/>
        <v>-360</v>
      </c>
    </row>
    <row r="8" spans="1:8" ht="25.8" x14ac:dyDescent="0.5">
      <c r="A8" s="8" t="s">
        <v>29</v>
      </c>
      <c r="B8" s="9">
        <v>45324</v>
      </c>
      <c r="C8" s="8">
        <f t="shared" ca="1" si="0"/>
        <v>-357</v>
      </c>
    </row>
    <row r="9" spans="1:8" ht="25.8" x14ac:dyDescent="0.5">
      <c r="A9" s="8" t="s">
        <v>30</v>
      </c>
      <c r="B9" s="9">
        <v>45298</v>
      </c>
      <c r="C9" s="8">
        <f t="shared" ca="1" si="0"/>
        <v>-383</v>
      </c>
    </row>
    <row r="10" spans="1:8" ht="25.8" x14ac:dyDescent="0.5">
      <c r="A10" s="8" t="s">
        <v>31</v>
      </c>
      <c r="B10" s="9">
        <v>45665</v>
      </c>
      <c r="C10" s="8">
        <f t="shared" ca="1" si="0"/>
        <v>-16</v>
      </c>
    </row>
    <row r="11" spans="1:8" ht="25.8" x14ac:dyDescent="0.5">
      <c r="A11" s="8" t="s">
        <v>32</v>
      </c>
      <c r="B11" s="9">
        <v>45650</v>
      </c>
      <c r="C11" s="8">
        <f t="shared" ca="1" si="0"/>
        <v>-31</v>
      </c>
    </row>
    <row r="14" spans="1:8" ht="25.8" x14ac:dyDescent="0.3">
      <c r="A14" s="7" t="s">
        <v>20</v>
      </c>
      <c r="B14" s="7" t="s">
        <v>21</v>
      </c>
      <c r="C14" s="7" t="s">
        <v>33</v>
      </c>
      <c r="E14">
        <v>100</v>
      </c>
      <c r="G14">
        <v>100</v>
      </c>
      <c r="H14" s="12" t="str">
        <f>REPT("|",E14)</f>
        <v>||||||||||||||||||||||||||||||||||||||||||||||||||||||||||||||||||||||||||||||||||||||||||||||||||||</v>
      </c>
    </row>
    <row r="15" spans="1:8" ht="25.8" x14ac:dyDescent="0.5">
      <c r="A15" s="8" t="s">
        <v>23</v>
      </c>
      <c r="B15" s="9">
        <v>45292</v>
      </c>
      <c r="C15" s="10">
        <f ca="1">TODAY()-B15</f>
        <v>389</v>
      </c>
      <c r="E15">
        <v>8</v>
      </c>
      <c r="G15">
        <v>8</v>
      </c>
      <c r="H15" s="12" t="str">
        <f t="shared" ref="H15:H19" si="1">REPT("|",E15)</f>
        <v>||||||||</v>
      </c>
    </row>
    <row r="16" spans="1:8" ht="25.8" x14ac:dyDescent="0.5">
      <c r="A16" s="8" t="s">
        <v>24</v>
      </c>
      <c r="B16" s="9">
        <v>45634</v>
      </c>
      <c r="C16" s="10">
        <f t="shared" ref="C16:C24" ca="1" si="2">TODAY()-B16</f>
        <v>47</v>
      </c>
      <c r="E16">
        <v>50</v>
      </c>
      <c r="G16">
        <v>50</v>
      </c>
      <c r="H16" s="12" t="str">
        <f t="shared" si="1"/>
        <v>||||||||||||||||||||||||||||||||||||||||||||||||||</v>
      </c>
    </row>
    <row r="17" spans="1:8" ht="25.8" x14ac:dyDescent="0.5">
      <c r="A17" s="8" t="s">
        <v>25</v>
      </c>
      <c r="B17" s="9">
        <v>45672</v>
      </c>
      <c r="C17" s="10">
        <f t="shared" ca="1" si="2"/>
        <v>9</v>
      </c>
      <c r="E17">
        <v>55</v>
      </c>
      <c r="G17">
        <v>55</v>
      </c>
      <c r="H17" s="12" t="str">
        <f t="shared" si="1"/>
        <v>|||||||||||||||||||||||||||||||||||||||||||||||||||||||</v>
      </c>
    </row>
    <row r="18" spans="1:8" ht="25.8" x14ac:dyDescent="0.5">
      <c r="A18" s="8" t="s">
        <v>26</v>
      </c>
      <c r="B18" s="9">
        <v>45311</v>
      </c>
      <c r="C18" s="10">
        <f t="shared" ca="1" si="2"/>
        <v>370</v>
      </c>
      <c r="E18">
        <v>85</v>
      </c>
      <c r="G18">
        <v>85</v>
      </c>
      <c r="H18" s="12" t="str">
        <f t="shared" si="1"/>
        <v>|||||||||||||||||||||||||||||||||||||||||||||||||||||||||||||||||||||||||||||||||||||</v>
      </c>
    </row>
    <row r="19" spans="1:8" ht="25.8" x14ac:dyDescent="0.5">
      <c r="A19" s="8" t="s">
        <v>27</v>
      </c>
      <c r="B19" s="9">
        <v>45315</v>
      </c>
      <c r="C19" s="10">
        <f t="shared" ca="1" si="2"/>
        <v>366</v>
      </c>
      <c r="E19">
        <v>2</v>
      </c>
      <c r="G19">
        <v>2</v>
      </c>
      <c r="H19" s="12" t="str">
        <f t="shared" si="1"/>
        <v>||</v>
      </c>
    </row>
    <row r="20" spans="1:8" ht="25.8" x14ac:dyDescent="0.5">
      <c r="A20" s="8" t="s">
        <v>28</v>
      </c>
      <c r="B20" s="9">
        <v>45321</v>
      </c>
      <c r="C20" s="10">
        <f t="shared" ca="1" si="2"/>
        <v>360</v>
      </c>
    </row>
    <row r="21" spans="1:8" ht="57.6" x14ac:dyDescent="0.8">
      <c r="A21" s="8" t="s">
        <v>29</v>
      </c>
      <c r="B21" s="9">
        <v>45324</v>
      </c>
      <c r="C21" s="10">
        <f t="shared" ca="1" si="2"/>
        <v>357</v>
      </c>
      <c r="H21" s="11"/>
    </row>
    <row r="22" spans="1:8" ht="25.8" x14ac:dyDescent="0.5">
      <c r="A22" s="8" t="s">
        <v>30</v>
      </c>
      <c r="B22" s="9">
        <v>45298</v>
      </c>
      <c r="C22" s="10">
        <f t="shared" ca="1" si="2"/>
        <v>383</v>
      </c>
    </row>
    <row r="23" spans="1:8" ht="25.8" x14ac:dyDescent="0.5">
      <c r="A23" s="8" t="s">
        <v>31</v>
      </c>
      <c r="B23" s="9">
        <v>45665</v>
      </c>
      <c r="C23" s="10">
        <f t="shared" ca="1" si="2"/>
        <v>16</v>
      </c>
    </row>
    <row r="24" spans="1:8" ht="25.8" x14ac:dyDescent="0.5">
      <c r="A24" s="8" t="s">
        <v>32</v>
      </c>
      <c r="B24" s="9">
        <v>45650</v>
      </c>
      <c r="C24" s="10">
        <f t="shared" ca="1" si="2"/>
        <v>31</v>
      </c>
    </row>
  </sheetData>
  <conditionalFormatting sqref="E14:E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{65E83BA2-A709-4EED-B161-6F3E435890BC}</x14:id>
        </ext>
      </extLst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E83BA2-A709-4EED-B161-6F3E43589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E14:E19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B551-1D70-4FC5-AC88-E8C03E4DEB4C}">
  <sheetPr codeName="Sheet5">
    <tabColor theme="5" tint="0.59999389629810485"/>
  </sheetPr>
  <dimension ref="A1:D9"/>
  <sheetViews>
    <sheetView workbookViewId="0">
      <selection activeCell="O19" sqref="O19"/>
    </sheetView>
  </sheetViews>
  <sheetFormatPr defaultRowHeight="14.4" x14ac:dyDescent="0.3"/>
  <cols>
    <col min="4" max="4" width="25.5546875" customWidth="1"/>
  </cols>
  <sheetData>
    <row r="1" spans="1:4" x14ac:dyDescent="0.3">
      <c r="A1" s="4" t="s">
        <v>43</v>
      </c>
      <c r="B1" s="4" t="s">
        <v>44</v>
      </c>
      <c r="C1" s="5" t="s">
        <v>45</v>
      </c>
    </row>
    <row r="2" spans="1:4" x14ac:dyDescent="0.3">
      <c r="A2" s="4" t="s">
        <v>34</v>
      </c>
      <c r="B2" s="4" t="s">
        <v>42</v>
      </c>
      <c r="C2" s="5">
        <v>100</v>
      </c>
      <c r="D2" s="13" t="str">
        <f>REPT("|",C2)</f>
        <v>||||||||||||||||||||||||||||||||||||||||||||||||||||||||||||||||||||||||||||||||||||||||||||||||||||</v>
      </c>
    </row>
    <row r="3" spans="1:4" x14ac:dyDescent="0.3">
      <c r="A3" s="4" t="s">
        <v>35</v>
      </c>
      <c r="B3" s="4" t="s">
        <v>12</v>
      </c>
      <c r="C3" s="5">
        <v>8</v>
      </c>
      <c r="D3" s="13" t="str">
        <f t="shared" ref="D3:D9" si="0">REPT("|",C3)</f>
        <v>||||||||</v>
      </c>
    </row>
    <row r="4" spans="1:4" x14ac:dyDescent="0.3">
      <c r="A4" s="4" t="s">
        <v>36</v>
      </c>
      <c r="B4" s="4" t="s">
        <v>13</v>
      </c>
      <c r="C4" s="5">
        <v>50</v>
      </c>
      <c r="D4" s="13" t="str">
        <f t="shared" si="0"/>
        <v>||||||||||||||||||||||||||||||||||||||||||||||||||</v>
      </c>
    </row>
    <row r="5" spans="1:4" x14ac:dyDescent="0.3">
      <c r="A5" s="4" t="s">
        <v>37</v>
      </c>
      <c r="B5" s="4" t="s">
        <v>14</v>
      </c>
      <c r="C5" s="5">
        <v>55</v>
      </c>
      <c r="D5" s="13" t="str">
        <f t="shared" si="0"/>
        <v>|||||||||||||||||||||||||||||||||||||||||||||||||||||||</v>
      </c>
    </row>
    <row r="6" spans="1:4" x14ac:dyDescent="0.3">
      <c r="A6" s="4" t="s">
        <v>38</v>
      </c>
      <c r="B6" s="4" t="s">
        <v>15</v>
      </c>
      <c r="C6" s="5">
        <v>85</v>
      </c>
      <c r="D6" s="13" t="str">
        <f t="shared" si="0"/>
        <v>|||||||||||||||||||||||||||||||||||||||||||||||||||||||||||||||||||||||||||||||||||||</v>
      </c>
    </row>
    <row r="7" spans="1:4" x14ac:dyDescent="0.3">
      <c r="A7" s="4" t="s">
        <v>39</v>
      </c>
      <c r="B7" s="4" t="s">
        <v>16</v>
      </c>
      <c r="C7" s="5">
        <v>2</v>
      </c>
      <c r="D7" s="13" t="str">
        <f t="shared" si="0"/>
        <v>||</v>
      </c>
    </row>
    <row r="8" spans="1:4" x14ac:dyDescent="0.3">
      <c r="A8" s="4" t="s">
        <v>40</v>
      </c>
      <c r="B8" s="4" t="s">
        <v>17</v>
      </c>
      <c r="C8" s="5">
        <v>25</v>
      </c>
      <c r="D8" s="13" t="str">
        <f t="shared" si="0"/>
        <v>|||||||||||||||||||||||||</v>
      </c>
    </row>
    <row r="9" spans="1:4" x14ac:dyDescent="0.3">
      <c r="A9" s="4" t="s">
        <v>41</v>
      </c>
      <c r="B9" s="4" t="s">
        <v>18</v>
      </c>
      <c r="C9" s="5">
        <v>19</v>
      </c>
      <c r="D9" s="13" t="str">
        <f t="shared" si="0"/>
        <v>|||||||||||||||||||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731B-6D15-4C5B-9ED6-8C57BEA2CEAF}">
  <sheetPr codeName="Sheet8"/>
  <dimension ref="A1:AK16"/>
  <sheetViews>
    <sheetView tabSelected="1" workbookViewId="0">
      <selection activeCell="K20" sqref="K20"/>
    </sheetView>
  </sheetViews>
  <sheetFormatPr defaultRowHeight="14.4" x14ac:dyDescent="0.3"/>
  <cols>
    <col min="1" max="1" width="5.21875" bestFit="1" customWidth="1"/>
    <col min="2" max="2" width="15.33203125" bestFit="1" customWidth="1"/>
    <col min="3" max="3" width="4.21875" customWidth="1"/>
    <col min="4" max="33" width="4.88671875" customWidth="1"/>
  </cols>
  <sheetData>
    <row r="1" spans="1:37" ht="28.8" x14ac:dyDescent="0.3">
      <c r="A1" s="34" t="s">
        <v>66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 t="s">
        <v>70</v>
      </c>
      <c r="O1" s="34"/>
      <c r="P1" s="34"/>
      <c r="Q1" s="34"/>
      <c r="R1" s="34"/>
      <c r="S1" s="34"/>
      <c r="T1" s="38">
        <f>DATEVALUE("1"&amp;N1)</f>
        <v>45352</v>
      </c>
      <c r="U1" s="38"/>
      <c r="V1" s="38"/>
      <c r="W1" s="38"/>
      <c r="X1" s="38"/>
      <c r="Y1" s="38"/>
      <c r="Z1" s="38"/>
      <c r="AA1" s="34" t="s">
        <v>80</v>
      </c>
      <c r="AB1" s="34"/>
      <c r="AC1" s="38">
        <f>EOMONTH(T1,0)</f>
        <v>45382</v>
      </c>
      <c r="AD1" s="38"/>
      <c r="AE1" s="38"/>
      <c r="AF1" s="38"/>
      <c r="AG1" s="38"/>
    </row>
    <row r="2" spans="1:37" x14ac:dyDescent="0.3">
      <c r="A2" s="19"/>
      <c r="B2" s="19"/>
      <c r="C2" s="19" t="str">
        <f>TEXT(C3,"DDD")</f>
        <v>Fri</v>
      </c>
      <c r="D2" s="19" t="str">
        <f t="shared" ref="D2:AG2" si="0">TEXT(D3,"DDD")</f>
        <v>Sat</v>
      </c>
      <c r="E2" s="19" t="str">
        <f t="shared" si="0"/>
        <v>Sun</v>
      </c>
      <c r="F2" s="19" t="str">
        <f t="shared" si="0"/>
        <v>Mon</v>
      </c>
      <c r="G2" s="19" t="str">
        <f t="shared" si="0"/>
        <v>Tue</v>
      </c>
      <c r="H2" s="19" t="str">
        <f t="shared" si="0"/>
        <v>Wed</v>
      </c>
      <c r="I2" s="19" t="str">
        <f t="shared" si="0"/>
        <v>Thu</v>
      </c>
      <c r="J2" s="19" t="str">
        <f t="shared" si="0"/>
        <v>Fri</v>
      </c>
      <c r="K2" s="19" t="str">
        <f t="shared" si="0"/>
        <v>Sat</v>
      </c>
      <c r="L2" s="19" t="str">
        <f t="shared" si="0"/>
        <v>Sun</v>
      </c>
      <c r="M2" s="19" t="str">
        <f t="shared" si="0"/>
        <v>Mon</v>
      </c>
      <c r="N2" s="19" t="str">
        <f t="shared" si="0"/>
        <v>Tue</v>
      </c>
      <c r="O2" s="19" t="str">
        <f t="shared" si="0"/>
        <v>Wed</v>
      </c>
      <c r="P2" s="19" t="str">
        <f t="shared" si="0"/>
        <v>Thu</v>
      </c>
      <c r="Q2" s="19" t="str">
        <f t="shared" si="0"/>
        <v>Fri</v>
      </c>
      <c r="R2" s="19" t="str">
        <f t="shared" si="0"/>
        <v>Sat</v>
      </c>
      <c r="S2" s="19" t="str">
        <f t="shared" si="0"/>
        <v>Sun</v>
      </c>
      <c r="T2" s="19" t="str">
        <f t="shared" si="0"/>
        <v>Mon</v>
      </c>
      <c r="U2" s="19" t="str">
        <f t="shared" si="0"/>
        <v>Tue</v>
      </c>
      <c r="V2" s="19" t="str">
        <f t="shared" si="0"/>
        <v>Wed</v>
      </c>
      <c r="W2" s="19" t="str">
        <f t="shared" si="0"/>
        <v>Thu</v>
      </c>
      <c r="X2" s="19" t="str">
        <f t="shared" si="0"/>
        <v>Fri</v>
      </c>
      <c r="Y2" s="19" t="str">
        <f t="shared" si="0"/>
        <v>Sat</v>
      </c>
      <c r="Z2" s="19" t="str">
        <f t="shared" si="0"/>
        <v>Sun</v>
      </c>
      <c r="AA2" s="19" t="str">
        <f t="shared" si="0"/>
        <v>Mon</v>
      </c>
      <c r="AB2" s="19" t="str">
        <f t="shared" si="0"/>
        <v>Tue</v>
      </c>
      <c r="AC2" s="19" t="str">
        <f t="shared" si="0"/>
        <v>Wed</v>
      </c>
      <c r="AD2" s="19" t="str">
        <f t="shared" si="0"/>
        <v>Thu</v>
      </c>
      <c r="AE2" s="19" t="str">
        <f t="shared" si="0"/>
        <v>Fri</v>
      </c>
      <c r="AF2" s="19" t="str">
        <f t="shared" si="0"/>
        <v>Sat</v>
      </c>
      <c r="AG2" s="19" t="str">
        <f t="shared" si="0"/>
        <v>Sun</v>
      </c>
      <c r="AH2" s="37" t="s">
        <v>92</v>
      </c>
      <c r="AI2" s="37" t="s">
        <v>93</v>
      </c>
      <c r="AJ2" s="37" t="s">
        <v>94</v>
      </c>
    </row>
    <row r="3" spans="1:37" ht="15.6" x14ac:dyDescent="0.3">
      <c r="A3" s="23" t="s">
        <v>1</v>
      </c>
      <c r="B3" s="18" t="s">
        <v>81</v>
      </c>
      <c r="C3" s="20">
        <f>T1</f>
        <v>45352</v>
      </c>
      <c r="D3" s="20">
        <f>IF(C3&lt;$AC$1,C3+1," ")</f>
        <v>45353</v>
      </c>
      <c r="E3" s="20">
        <f t="shared" ref="E3:AG3" si="1">IF(D3&lt;$AC$1,D3+1," ")</f>
        <v>45354</v>
      </c>
      <c r="F3" s="20">
        <f t="shared" si="1"/>
        <v>45355</v>
      </c>
      <c r="G3" s="20">
        <f t="shared" si="1"/>
        <v>45356</v>
      </c>
      <c r="H3" s="20">
        <f t="shared" si="1"/>
        <v>45357</v>
      </c>
      <c r="I3" s="20">
        <f t="shared" si="1"/>
        <v>45358</v>
      </c>
      <c r="J3" s="20">
        <f t="shared" si="1"/>
        <v>45359</v>
      </c>
      <c r="K3" s="20">
        <f t="shared" si="1"/>
        <v>45360</v>
      </c>
      <c r="L3" s="20">
        <f t="shared" si="1"/>
        <v>45361</v>
      </c>
      <c r="M3" s="20">
        <f t="shared" si="1"/>
        <v>45362</v>
      </c>
      <c r="N3" s="20">
        <f t="shared" si="1"/>
        <v>45363</v>
      </c>
      <c r="O3" s="20">
        <f t="shared" si="1"/>
        <v>45364</v>
      </c>
      <c r="P3" s="20">
        <f t="shared" si="1"/>
        <v>45365</v>
      </c>
      <c r="Q3" s="20">
        <f t="shared" si="1"/>
        <v>45366</v>
      </c>
      <c r="R3" s="20">
        <f t="shared" si="1"/>
        <v>45367</v>
      </c>
      <c r="S3" s="20">
        <f t="shared" si="1"/>
        <v>45368</v>
      </c>
      <c r="T3" s="20">
        <f t="shared" si="1"/>
        <v>45369</v>
      </c>
      <c r="U3" s="20">
        <f t="shared" si="1"/>
        <v>45370</v>
      </c>
      <c r="V3" s="20">
        <f t="shared" si="1"/>
        <v>45371</v>
      </c>
      <c r="W3" s="20">
        <f t="shared" si="1"/>
        <v>45372</v>
      </c>
      <c r="X3" s="20">
        <f t="shared" si="1"/>
        <v>45373</v>
      </c>
      <c r="Y3" s="20">
        <f t="shared" si="1"/>
        <v>45374</v>
      </c>
      <c r="Z3" s="20">
        <f t="shared" si="1"/>
        <v>45375</v>
      </c>
      <c r="AA3" s="20">
        <f t="shared" si="1"/>
        <v>45376</v>
      </c>
      <c r="AB3" s="20">
        <f t="shared" si="1"/>
        <v>45377</v>
      </c>
      <c r="AC3" s="20">
        <f t="shared" si="1"/>
        <v>45378</v>
      </c>
      <c r="AD3" s="20">
        <f t="shared" si="1"/>
        <v>45379</v>
      </c>
      <c r="AE3" s="20">
        <f t="shared" si="1"/>
        <v>45380</v>
      </c>
      <c r="AF3" s="20">
        <f t="shared" si="1"/>
        <v>45381</v>
      </c>
      <c r="AG3" s="20">
        <f t="shared" si="1"/>
        <v>45382</v>
      </c>
      <c r="AH3" s="37"/>
      <c r="AI3" s="37"/>
      <c r="AJ3" s="37"/>
    </row>
    <row r="4" spans="1:37" ht="15.6" x14ac:dyDescent="0.3">
      <c r="A4" s="23">
        <v>1</v>
      </c>
      <c r="B4" s="18" t="s">
        <v>82</v>
      </c>
      <c r="C4" s="21">
        <v>50</v>
      </c>
      <c r="D4" s="21">
        <v>80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2"/>
      <c r="AH4" s="22">
        <f>SUM(C4:AG4)</f>
        <v>130</v>
      </c>
      <c r="AI4" s="22">
        <v>1000</v>
      </c>
      <c r="AJ4" s="25">
        <f>AI4-AH4</f>
        <v>870</v>
      </c>
      <c r="AK4" t="s">
        <v>67</v>
      </c>
    </row>
    <row r="5" spans="1:37" ht="15.6" x14ac:dyDescent="0.3">
      <c r="A5" s="23">
        <v>2</v>
      </c>
      <c r="B5" s="18" t="s">
        <v>83</v>
      </c>
      <c r="C5" s="21">
        <v>25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2"/>
      <c r="AH5" s="22">
        <f t="shared" ref="AH5:AH13" si="2">SUM(C5:AG5)</f>
        <v>25</v>
      </c>
      <c r="AI5" s="22">
        <v>1000</v>
      </c>
      <c r="AJ5" s="25">
        <f t="shared" ref="AJ5:AJ13" si="3">AI5-AH5</f>
        <v>975</v>
      </c>
      <c r="AK5" t="s">
        <v>68</v>
      </c>
    </row>
    <row r="6" spans="1:37" ht="15.6" x14ac:dyDescent="0.3">
      <c r="A6" s="23">
        <v>3</v>
      </c>
      <c r="B6" s="18" t="s">
        <v>90</v>
      </c>
      <c r="C6" s="21">
        <v>35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2"/>
      <c r="AH6" s="22">
        <f t="shared" si="2"/>
        <v>35</v>
      </c>
      <c r="AI6" s="22">
        <v>1000</v>
      </c>
      <c r="AJ6" s="25">
        <f t="shared" si="3"/>
        <v>965</v>
      </c>
      <c r="AK6" t="s">
        <v>69</v>
      </c>
    </row>
    <row r="7" spans="1:37" ht="15.6" x14ac:dyDescent="0.3">
      <c r="A7" s="23">
        <v>4</v>
      </c>
      <c r="B7" s="18" t="s">
        <v>84</v>
      </c>
      <c r="C7" s="21">
        <v>45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  <c r="AH7" s="22">
        <f t="shared" si="2"/>
        <v>45</v>
      </c>
      <c r="AI7" s="22">
        <v>1000</v>
      </c>
      <c r="AJ7" s="25">
        <f t="shared" si="3"/>
        <v>955</v>
      </c>
      <c r="AK7" t="s">
        <v>70</v>
      </c>
    </row>
    <row r="8" spans="1:37" ht="15.6" x14ac:dyDescent="0.3">
      <c r="A8" s="23">
        <v>5</v>
      </c>
      <c r="B8" s="18" t="s">
        <v>85</v>
      </c>
      <c r="C8" s="21">
        <v>52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  <c r="AH8" s="22">
        <f t="shared" si="2"/>
        <v>52</v>
      </c>
      <c r="AI8" s="22">
        <v>1000</v>
      </c>
      <c r="AJ8" s="25">
        <f t="shared" si="3"/>
        <v>948</v>
      </c>
      <c r="AK8" t="s">
        <v>71</v>
      </c>
    </row>
    <row r="9" spans="1:37" ht="15.6" x14ac:dyDescent="0.3">
      <c r="A9" s="23">
        <v>6</v>
      </c>
      <c r="B9" s="18" t="s">
        <v>86</v>
      </c>
      <c r="C9" s="21">
        <v>65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2"/>
      <c r="AH9" s="22">
        <f t="shared" si="2"/>
        <v>65</v>
      </c>
      <c r="AI9" s="22">
        <v>1000</v>
      </c>
      <c r="AJ9" s="25">
        <f t="shared" si="3"/>
        <v>935</v>
      </c>
      <c r="AK9" t="s">
        <v>72</v>
      </c>
    </row>
    <row r="10" spans="1:37" ht="15.6" x14ac:dyDescent="0.3">
      <c r="A10" s="23">
        <v>7</v>
      </c>
      <c r="B10" s="18" t="s">
        <v>87</v>
      </c>
      <c r="C10" s="21">
        <v>65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2"/>
      <c r="AH10" s="22">
        <f t="shared" si="2"/>
        <v>65</v>
      </c>
      <c r="AI10" s="22">
        <v>1000</v>
      </c>
      <c r="AJ10" s="25">
        <f t="shared" si="3"/>
        <v>935</v>
      </c>
      <c r="AK10" t="s">
        <v>73</v>
      </c>
    </row>
    <row r="11" spans="1:37" ht="15.6" x14ac:dyDescent="0.3">
      <c r="A11" s="23">
        <v>8</v>
      </c>
      <c r="B11" s="18" t="s">
        <v>91</v>
      </c>
      <c r="C11" s="21">
        <v>55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2"/>
      <c r="AH11" s="22">
        <f t="shared" si="2"/>
        <v>55</v>
      </c>
      <c r="AI11" s="22">
        <v>1000</v>
      </c>
      <c r="AJ11" s="25">
        <f t="shared" si="3"/>
        <v>945</v>
      </c>
      <c r="AK11" t="s">
        <v>74</v>
      </c>
    </row>
    <row r="12" spans="1:37" ht="15.6" x14ac:dyDescent="0.3">
      <c r="A12" s="23">
        <v>9</v>
      </c>
      <c r="B12" s="18" t="s">
        <v>88</v>
      </c>
      <c r="C12" s="21">
        <v>4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2"/>
      <c r="AH12" s="22">
        <f t="shared" si="2"/>
        <v>4</v>
      </c>
      <c r="AI12" s="22">
        <v>1000</v>
      </c>
      <c r="AJ12" s="25">
        <f t="shared" si="3"/>
        <v>996</v>
      </c>
      <c r="AK12" t="s">
        <v>75</v>
      </c>
    </row>
    <row r="13" spans="1:37" ht="15.6" x14ac:dyDescent="0.3">
      <c r="A13" s="23">
        <v>10</v>
      </c>
      <c r="B13" s="18" t="s">
        <v>89</v>
      </c>
      <c r="C13" s="21">
        <v>10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2"/>
      <c r="AH13" s="22">
        <f t="shared" si="2"/>
        <v>10</v>
      </c>
      <c r="AI13" s="22">
        <v>1000</v>
      </c>
      <c r="AJ13" s="25">
        <f t="shared" si="3"/>
        <v>990</v>
      </c>
      <c r="AK13" t="s">
        <v>76</v>
      </c>
    </row>
    <row r="14" spans="1:37" ht="15.6" x14ac:dyDescent="0.3">
      <c r="A14" s="19"/>
      <c r="B14" s="18" t="s">
        <v>95</v>
      </c>
      <c r="C14" s="24">
        <f>SUM(C4:C13)</f>
        <v>406</v>
      </c>
      <c r="D14" s="24">
        <f t="shared" ref="D14:AG14" si="4">SUM(D4:D13)</f>
        <v>80</v>
      </c>
      <c r="E14" s="24">
        <f t="shared" si="4"/>
        <v>0</v>
      </c>
      <c r="F14" s="24">
        <f t="shared" si="4"/>
        <v>0</v>
      </c>
      <c r="G14" s="24">
        <f t="shared" si="4"/>
        <v>0</v>
      </c>
      <c r="H14" s="24">
        <f t="shared" si="4"/>
        <v>0</v>
      </c>
      <c r="I14" s="24">
        <f t="shared" si="4"/>
        <v>0</v>
      </c>
      <c r="J14" s="24">
        <f t="shared" si="4"/>
        <v>0</v>
      </c>
      <c r="K14" s="24">
        <f t="shared" si="4"/>
        <v>0</v>
      </c>
      <c r="L14" s="24">
        <f t="shared" si="4"/>
        <v>0</v>
      </c>
      <c r="M14" s="24">
        <f t="shared" si="4"/>
        <v>0</v>
      </c>
      <c r="N14" s="24">
        <f t="shared" si="4"/>
        <v>0</v>
      </c>
      <c r="O14" s="24">
        <f t="shared" si="4"/>
        <v>0</v>
      </c>
      <c r="P14" s="24">
        <f t="shared" si="4"/>
        <v>0</v>
      </c>
      <c r="Q14" s="24">
        <f t="shared" si="4"/>
        <v>0</v>
      </c>
      <c r="R14" s="24">
        <f t="shared" si="4"/>
        <v>0</v>
      </c>
      <c r="S14" s="24">
        <f t="shared" si="4"/>
        <v>0</v>
      </c>
      <c r="T14" s="24">
        <f t="shared" si="4"/>
        <v>0</v>
      </c>
      <c r="U14" s="24">
        <f t="shared" si="4"/>
        <v>0</v>
      </c>
      <c r="V14" s="24">
        <f t="shared" si="4"/>
        <v>0</v>
      </c>
      <c r="W14" s="24">
        <f t="shared" si="4"/>
        <v>0</v>
      </c>
      <c r="X14" s="24">
        <f t="shared" si="4"/>
        <v>0</v>
      </c>
      <c r="Y14" s="24">
        <f t="shared" si="4"/>
        <v>0</v>
      </c>
      <c r="Z14" s="24">
        <f t="shared" si="4"/>
        <v>0</v>
      </c>
      <c r="AA14" s="24">
        <f t="shared" si="4"/>
        <v>0</v>
      </c>
      <c r="AB14" s="24">
        <f t="shared" si="4"/>
        <v>0</v>
      </c>
      <c r="AC14" s="24">
        <f t="shared" si="4"/>
        <v>0</v>
      </c>
      <c r="AD14" s="24">
        <f t="shared" si="4"/>
        <v>0</v>
      </c>
      <c r="AE14" s="24">
        <f t="shared" si="4"/>
        <v>0</v>
      </c>
      <c r="AF14" s="24">
        <f t="shared" si="4"/>
        <v>0</v>
      </c>
      <c r="AG14" s="24">
        <f t="shared" si="4"/>
        <v>0</v>
      </c>
      <c r="AH14" s="24">
        <f>SUM(AH4:AH13)</f>
        <v>486</v>
      </c>
      <c r="AI14" s="24">
        <f>SUM(AI4:AI13)</f>
        <v>10000</v>
      </c>
      <c r="AJ14" s="24">
        <f>SUM(AJ4:AJ13)</f>
        <v>9514</v>
      </c>
      <c r="AK14" t="s">
        <v>77</v>
      </c>
    </row>
    <row r="15" spans="1:37" x14ac:dyDescent="0.3">
      <c r="AK15" t="s">
        <v>78</v>
      </c>
    </row>
    <row r="16" spans="1:37" x14ac:dyDescent="0.3">
      <c r="AK16" t="s">
        <v>79</v>
      </c>
    </row>
  </sheetData>
  <mergeCells count="8">
    <mergeCell ref="AI2:AI3"/>
    <mergeCell ref="AJ2:AJ3"/>
    <mergeCell ref="A1:M1"/>
    <mergeCell ref="N1:S1"/>
    <mergeCell ref="T1:Z1"/>
    <mergeCell ref="AA1:AB1"/>
    <mergeCell ref="AC1:AG1"/>
    <mergeCell ref="AH2:AH3"/>
  </mergeCells>
  <conditionalFormatting sqref="C2:AG2">
    <cfRule type="containsText" dxfId="3" priority="1" operator="containsText" text="SAT">
      <formula>NOT(ISERROR(SEARCH("SAT",C2)))</formula>
    </cfRule>
    <cfRule type="containsText" dxfId="2" priority="2" operator="containsText" text="SAT">
      <formula>NOT(ISERROR(SEARCH("SAT",C2)))</formula>
    </cfRule>
    <cfRule type="containsText" dxfId="1" priority="3" operator="containsText" text="SUN">
      <formula>NOT(ISERROR(SEARCH("SUN",C2)))</formula>
    </cfRule>
    <cfRule type="containsText" dxfId="0" priority="4" operator="containsText" text="SUN,SAT">
      <formula>NOT(ISERROR(SEARCH("SUN,SAT",C2)))</formula>
    </cfRule>
  </conditionalFormatting>
  <dataValidations count="1">
    <dataValidation type="list" allowBlank="1" showInputMessage="1" showErrorMessage="1" sqref="N1:S1" xr:uid="{860EEEAD-87E3-48C6-A679-1D0621C3263C}">
      <formula1>Months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dob calculator</vt:lpstr>
      <vt:lpstr>Attendence</vt:lpstr>
      <vt:lpstr>Production_report_december</vt:lpstr>
      <vt:lpstr> 30wrk_days</vt:lpstr>
      <vt:lpstr>IN_STOCK_OUT_OF_STOCK</vt:lpstr>
      <vt:lpstr>Sheet3</vt:lpstr>
      <vt:lpstr>rept function</vt:lpstr>
      <vt:lpstr>Production_report_january</vt:lpstr>
      <vt:lpstr>Production_report_january!Months</vt:lpstr>
      <vt:lpstr>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</dc:creator>
  <cp:lastModifiedBy>Sathish Kumar</cp:lastModifiedBy>
  <dcterms:created xsi:type="dcterms:W3CDTF">2024-12-23T15:55:33Z</dcterms:created>
  <dcterms:modified xsi:type="dcterms:W3CDTF">2025-01-24T16:16:34Z</dcterms:modified>
</cp:coreProperties>
</file>