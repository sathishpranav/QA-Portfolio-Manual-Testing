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thish_2025\Excel\"/>
    </mc:Choice>
  </mc:AlternateContent>
  <xr:revisionPtr revIDLastSave="0" documentId="13_ncr:1_{1E80E040-3599-4BA5-90A1-E7BC6D069A61}" xr6:coauthVersionLast="47" xr6:coauthVersionMax="47" xr10:uidLastSave="{00000000-0000-0000-0000-000000000000}"/>
  <bookViews>
    <workbookView xWindow="-132" yWindow="-132" windowWidth="23304" windowHeight="12504" activeTab="5" xr2:uid="{DD72B60E-B0D4-4053-AD21-2DE9A14D1F6E}"/>
  </bookViews>
  <sheets>
    <sheet name="controll chart" sheetId="1" r:id="rId1"/>
    <sheet name="defect_count_stability _check" sheetId="3" r:id="rId2"/>
    <sheet name="Sheet5" sheetId="5" r:id="rId3"/>
    <sheet name="defect_leakage" sheetId="4" r:id="rId4"/>
    <sheet name="histogram" sheetId="6" r:id="rId5"/>
    <sheet name="Histo_1" sheetId="7" r:id="rId6"/>
  </sheets>
  <definedNames>
    <definedName name="_xlchart.v1.0" hidden="1">defect_leakage!$A$2</definedName>
    <definedName name="_xlchart.v1.1" hidden="1">defect_leakage!$A$3:$A$8</definedName>
    <definedName name="_xlchart.v1.10" hidden="1">defect_leakage!$A$2</definedName>
    <definedName name="_xlchart.v1.11" hidden="1">defect_leakage!$A$3:$A$8</definedName>
    <definedName name="_xlchart.v1.12" hidden="1">defect_leakage!$D$2</definedName>
    <definedName name="_xlchart.v1.13" hidden="1">defect_leakage!$D$3:$D$8</definedName>
    <definedName name="_xlchart.v1.14" hidden="1">defect_leakage!$E$2</definedName>
    <definedName name="_xlchart.v1.15" hidden="1">defect_leakage!$E$3:$E$8</definedName>
    <definedName name="_xlchart.v1.16" hidden="1">defect_leakage!$F$2</definedName>
    <definedName name="_xlchart.v1.17" hidden="1">defect_leakage!$F$3:$F$8</definedName>
    <definedName name="_xlchart.v1.18" hidden="1">defect_leakage!$G$2</definedName>
    <definedName name="_xlchart.v1.19" hidden="1">defect_leakage!$G$3:$G$8</definedName>
    <definedName name="_xlchart.v1.2" hidden="1">defect_leakage!$D$2</definedName>
    <definedName name="_xlchart.v1.3" hidden="1">defect_leakage!$D$3:$D$8</definedName>
    <definedName name="_xlchart.v1.4" hidden="1">defect_leakage!$E$2</definedName>
    <definedName name="_xlchart.v1.5" hidden="1">defect_leakage!$E$3:$E$8</definedName>
    <definedName name="_xlchart.v1.6" hidden="1">defect_leakage!$F$2</definedName>
    <definedName name="_xlchart.v1.7" hidden="1">defect_leakage!$F$3:$F$8</definedName>
    <definedName name="_xlchart.v1.8" hidden="1">defect_leakage!$G$2</definedName>
    <definedName name="_xlchart.v1.9" hidden="1">defect_leakage!$G$3:$G$8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7" l="1" a="1"/>
  <c r="G3" i="7" s="1"/>
  <c r="G4" i="7" a="1"/>
  <c r="G4" i="7" s="1"/>
  <c r="G5" i="7" a="1"/>
  <c r="G5" i="7" s="1"/>
  <c r="G6" i="7" a="1"/>
  <c r="G6" i="7" s="1"/>
  <c r="G2" i="7" a="1"/>
  <c r="G2" i="7" s="1"/>
  <c r="F2" i="6" a="1"/>
  <c r="F2" i="6" s="1"/>
  <c r="G4" i="4"/>
  <c r="G5" i="4"/>
  <c r="G6" i="4"/>
  <c r="G7" i="4"/>
  <c r="G8" i="4"/>
  <c r="G3" i="4"/>
  <c r="F4" i="4"/>
  <c r="F5" i="4"/>
  <c r="F6" i="4"/>
  <c r="F7" i="4"/>
  <c r="F8" i="4"/>
  <c r="F3" i="4"/>
  <c r="E4" i="4"/>
  <c r="E5" i="4"/>
  <c r="E6" i="4"/>
  <c r="E7" i="4"/>
  <c r="E8" i="4"/>
  <c r="E3" i="4"/>
  <c r="B11" i="4"/>
  <c r="B10" i="4"/>
  <c r="D4" i="4"/>
  <c r="D5" i="4"/>
  <c r="D6" i="4"/>
  <c r="D7" i="4"/>
  <c r="D8" i="4"/>
  <c r="D3" i="4"/>
  <c r="D2" i="3"/>
  <c r="D1" i="3"/>
  <c r="C11" i="3" s="1"/>
  <c r="C3" i="1"/>
  <c r="C2" i="1"/>
  <c r="C7" i="1" s="1"/>
  <c r="I4" i="6"/>
  <c r="F9" i="6" l="1"/>
  <c r="F8" i="6"/>
  <c r="F7" i="6"/>
  <c r="F6" i="6"/>
  <c r="F5" i="6"/>
  <c r="F4" i="6"/>
  <c r="F3" i="6"/>
  <c r="F10" i="6"/>
  <c r="C8" i="3"/>
  <c r="E11" i="3"/>
  <c r="D11" i="3"/>
  <c r="C12" i="3"/>
  <c r="C9" i="3"/>
  <c r="C4" i="3"/>
  <c r="C7" i="3"/>
  <c r="C10" i="3"/>
  <c r="C5" i="3"/>
  <c r="C13" i="3"/>
  <c r="C6" i="3"/>
  <c r="E7" i="1"/>
  <c r="D7" i="1"/>
  <c r="C13" i="1"/>
  <c r="C6" i="1"/>
  <c r="C12" i="1"/>
  <c r="C14" i="1"/>
  <c r="C19" i="1"/>
  <c r="C11" i="1"/>
  <c r="C18" i="1"/>
  <c r="C10" i="1"/>
  <c r="C17" i="1"/>
  <c r="C9" i="1"/>
  <c r="C16" i="1"/>
  <c r="C8" i="1"/>
  <c r="C15" i="1"/>
  <c r="E4" i="3" l="1"/>
  <c r="D4" i="3"/>
  <c r="E9" i="3"/>
  <c r="D9" i="3"/>
  <c r="E7" i="3"/>
  <c r="D7" i="3"/>
  <c r="D8" i="3"/>
  <c r="E8" i="3"/>
  <c r="E12" i="3"/>
  <c r="D12" i="3"/>
  <c r="E5" i="3"/>
  <c r="D5" i="3"/>
  <c r="E10" i="3"/>
  <c r="D10" i="3"/>
  <c r="E6" i="3"/>
  <c r="D6" i="3"/>
  <c r="E13" i="3"/>
  <c r="D13" i="3"/>
  <c r="E11" i="1"/>
  <c r="D11" i="1"/>
  <c r="D15" i="1"/>
  <c r="E15" i="1"/>
  <c r="E8" i="1"/>
  <c r="D8" i="1"/>
  <c r="E6" i="1"/>
  <c r="D6" i="1"/>
  <c r="D17" i="1"/>
  <c r="E17" i="1"/>
  <c r="E13" i="1"/>
  <c r="D13" i="1"/>
  <c r="E19" i="1"/>
  <c r="D19" i="1"/>
  <c r="D14" i="1"/>
  <c r="E14" i="1"/>
  <c r="E12" i="1"/>
  <c r="D12" i="1"/>
  <c r="E10" i="1"/>
  <c r="D10" i="1"/>
  <c r="D16" i="1"/>
  <c r="E16" i="1"/>
  <c r="E9" i="1"/>
  <c r="D9" i="1"/>
  <c r="D18" i="1"/>
  <c r="E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Sathish Kumar</author>
  </authors>
  <commentList>
    <comment ref="D2" authorId="0" shapeId="0" xr:uid="{172DF45E-2112-46E9-B89E-612D604E3F67}">
      <text>
        <r>
          <rPr>
            <b/>
            <sz val="11"/>
            <color indexed="81"/>
            <rFont val="Tahoma"/>
            <family val="2"/>
          </rPr>
          <t>Sathish Kumar:</t>
        </r>
        <r>
          <rPr>
            <sz val="11"/>
            <color indexed="81"/>
            <rFont val="Tahoma"/>
            <family val="2"/>
          </rPr>
          <t xml:space="preserve">
defect leakage=Defects found in production/(defects fiund in Testing Phase+defects fiund in Production)*100
</t>
        </r>
      </text>
    </comment>
  </commentList>
</comments>
</file>

<file path=xl/sharedStrings.xml><?xml version="1.0" encoding="utf-8"?>
<sst xmlns="http://schemas.openxmlformats.org/spreadsheetml/2006/main" count="62" uniqueCount="48">
  <si>
    <t>Mean</t>
  </si>
  <si>
    <t>Std Dev</t>
  </si>
  <si>
    <t>Measurement</t>
  </si>
  <si>
    <t>UCL(3σ)</t>
  </si>
  <si>
    <t>LCL(3σ)</t>
  </si>
  <si>
    <t>Date</t>
  </si>
  <si>
    <t>Std Deviation</t>
  </si>
  <si>
    <t>sprint</t>
  </si>
  <si>
    <t>Defect Count</t>
  </si>
  <si>
    <t>Data set for defect Leakage %</t>
  </si>
  <si>
    <t>Release</t>
  </si>
  <si>
    <t>QA defects found</t>
  </si>
  <si>
    <t>Prod Defects</t>
  </si>
  <si>
    <t xml:space="preserve">defect leakage %
</t>
  </si>
  <si>
    <t>lCL(3σ)</t>
  </si>
  <si>
    <t>Name</t>
  </si>
  <si>
    <t>sales</t>
  </si>
  <si>
    <t>Ram</t>
  </si>
  <si>
    <t>Sam</t>
  </si>
  <si>
    <t>Sai</t>
  </si>
  <si>
    <t>Hari</t>
  </si>
  <si>
    <t>Rohit</t>
  </si>
  <si>
    <t>Behivina</t>
  </si>
  <si>
    <t>diyasini</t>
  </si>
  <si>
    <t>samitha</t>
  </si>
  <si>
    <t>archana</t>
  </si>
  <si>
    <t>Range</t>
  </si>
  <si>
    <t>Bin</t>
  </si>
  <si>
    <t>Freequency</t>
  </si>
  <si>
    <t>0-10</t>
  </si>
  <si>
    <t>21-30</t>
  </si>
  <si>
    <t>11-20</t>
  </si>
  <si>
    <t>31-40</t>
  </si>
  <si>
    <t>41-50</t>
  </si>
  <si>
    <t>51-60</t>
  </si>
  <si>
    <t>61-70</t>
  </si>
  <si>
    <t>71-80</t>
  </si>
  <si>
    <t>81-100</t>
  </si>
  <si>
    <t>papa</t>
  </si>
  <si>
    <t>baby</t>
  </si>
  <si>
    <t>tomy</t>
  </si>
  <si>
    <t>mama</t>
  </si>
  <si>
    <t>if we use array,we need to press CTRL+SHIFT+ENTER</t>
  </si>
  <si>
    <t>0-5</t>
  </si>
  <si>
    <t>6-10</t>
  </si>
  <si>
    <t>11-15</t>
  </si>
  <si>
    <t>16-20</t>
  </si>
  <si>
    <t>21-25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</si>
</sst>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7" x14ac:knownFonts="1"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C00000"/>
      <name val="Calibri"/>
      <family val="2"/>
      <scheme val="minor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b/>
      <sz val="14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2" xfId="0" applyNumberFormat="1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14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4" borderId="1" xfId="0" applyFill="1" applyBorder="1"/>
    <xf numFmtId="0" fontId="0" fillId="0" borderId="2" xfId="0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2" fillId="0" borderId="0" xfId="0" applyFont="1" applyAlignment="1">
      <alignment horizontal="center"/>
    </xf>
    <xf numFmtId="0" fontId="0" fillId="0" borderId="1" xfId="0" applyBorder="1" applyAlignment="1">
      <alignment wrapText="1"/>
    </xf>
    <xf numFmtId="166" fontId="0" fillId="4" borderId="1" xfId="0" applyNumberFormat="1" applyFill="1" applyBorder="1"/>
    <xf numFmtId="0" fontId="0" fillId="0" borderId="1" xfId="0" applyFill="1" applyBorder="1"/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left" vertical="center"/>
    </xf>
    <xf numFmtId="49" fontId="0" fillId="0" borderId="1" xfId="0" applyNumberFormat="1" applyBorder="1"/>
    <xf numFmtId="0" fontId="2" fillId="4" borderId="4" xfId="0" applyFont="1" applyFill="1" applyBorder="1"/>
    <xf numFmtId="0" fontId="2" fillId="4" borderId="6" xfId="0" applyFont="1" applyFill="1" applyBorder="1"/>
    <xf numFmtId="0" fontId="0" fillId="0" borderId="1" xfId="0" applyBorder="1" applyAlignment="1">
      <alignment horizontal="centerContinuous"/>
    </xf>
    <xf numFmtId="0" fontId="5" fillId="0" borderId="0" xfId="0" applyFont="1"/>
    <xf numFmtId="0" fontId="6" fillId="0" borderId="0" xfId="0" applyFont="1"/>
    <xf numFmtId="0" fontId="1" fillId="4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0" fillId="0" borderId="0" xfId="0" applyBorder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 patternType="solid">
          <fgColor indexed="64"/>
          <bgColor rgb="FFFFC0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numFmt numFmtId="19" formatCode="dd/mm/yyyy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control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122518339053772"/>
          <c:y val="0.14927286129082062"/>
          <c:w val="0.66219362002826565"/>
          <c:h val="0.48540592767460045"/>
        </c:manualLayout>
      </c:layout>
      <c:lineChart>
        <c:grouping val="standard"/>
        <c:varyColors val="0"/>
        <c:ser>
          <c:idx val="0"/>
          <c:order val="0"/>
          <c:tx>
            <c:strRef>
              <c:f>'controll chart'!$B$5</c:f>
              <c:strCache>
                <c:ptCount val="1"/>
                <c:pt idx="0">
                  <c:v>Measurement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92D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'controll chart'!$A$6:$A$19</c:f>
              <c:numCache>
                <c:formatCode>m/d/yyyy</c:formatCode>
                <c:ptCount val="1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</c:numCache>
            </c:numRef>
          </c:cat>
          <c:val>
            <c:numRef>
              <c:f>'controll chart'!$B$6:$B$19</c:f>
              <c:numCache>
                <c:formatCode>General</c:formatCode>
                <c:ptCount val="14"/>
                <c:pt idx="0">
                  <c:v>18</c:v>
                </c:pt>
                <c:pt idx="1">
                  <c:v>21</c:v>
                </c:pt>
                <c:pt idx="2">
                  <c:v>13</c:v>
                </c:pt>
                <c:pt idx="3">
                  <c:v>15</c:v>
                </c:pt>
                <c:pt idx="4">
                  <c:v>12</c:v>
                </c:pt>
                <c:pt idx="5">
                  <c:v>18</c:v>
                </c:pt>
                <c:pt idx="6">
                  <c:v>17</c:v>
                </c:pt>
                <c:pt idx="7">
                  <c:v>11</c:v>
                </c:pt>
                <c:pt idx="8">
                  <c:v>25</c:v>
                </c:pt>
                <c:pt idx="9">
                  <c:v>25</c:v>
                </c:pt>
                <c:pt idx="10">
                  <c:v>10</c:v>
                </c:pt>
                <c:pt idx="11">
                  <c:v>21</c:v>
                </c:pt>
                <c:pt idx="12">
                  <c:v>25</c:v>
                </c:pt>
                <c:pt idx="1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46-48F4-81EF-C1CA3E622D9B}"/>
            </c:ext>
          </c:extLst>
        </c:ser>
        <c:ser>
          <c:idx val="1"/>
          <c:order val="1"/>
          <c:tx>
            <c:strRef>
              <c:f>'controll chart'!$C$5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3"/>
              <c:layout>
                <c:manualLayout>
                  <c:x val="1.2419745608721829E-2"/>
                  <c:y val="-1.50694517075308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46-48F4-81EF-C1CA3E622D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'controll chart'!$A$6:$A$19</c:f>
              <c:numCache>
                <c:formatCode>m/d/yyyy</c:formatCode>
                <c:ptCount val="1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</c:numCache>
            </c:numRef>
          </c:cat>
          <c:val>
            <c:numRef>
              <c:f>'controll chart'!$C$6:$C$19</c:f>
              <c:numCache>
                <c:formatCode>General</c:formatCode>
                <c:ptCount val="14"/>
                <c:pt idx="0">
                  <c:v>17.714285714285715</c:v>
                </c:pt>
                <c:pt idx="1">
                  <c:v>17.714285714285715</c:v>
                </c:pt>
                <c:pt idx="2">
                  <c:v>17.714285714285715</c:v>
                </c:pt>
                <c:pt idx="3">
                  <c:v>17.714285714285715</c:v>
                </c:pt>
                <c:pt idx="4">
                  <c:v>17.714285714285715</c:v>
                </c:pt>
                <c:pt idx="5">
                  <c:v>17.714285714285715</c:v>
                </c:pt>
                <c:pt idx="6">
                  <c:v>17.714285714285715</c:v>
                </c:pt>
                <c:pt idx="7">
                  <c:v>17.714285714285715</c:v>
                </c:pt>
                <c:pt idx="8">
                  <c:v>17.714285714285715</c:v>
                </c:pt>
                <c:pt idx="9">
                  <c:v>17.714285714285715</c:v>
                </c:pt>
                <c:pt idx="10">
                  <c:v>17.714285714285715</c:v>
                </c:pt>
                <c:pt idx="11">
                  <c:v>17.714285714285715</c:v>
                </c:pt>
                <c:pt idx="12">
                  <c:v>17.714285714285715</c:v>
                </c:pt>
                <c:pt idx="13">
                  <c:v>17.714285714285715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46-48F4-81EF-C1CA3E622D9B}"/>
            </c:ext>
          </c:extLst>
        </c:ser>
        <c:ser>
          <c:idx val="2"/>
          <c:order val="2"/>
          <c:tx>
            <c:strRef>
              <c:f>'controll chart'!$D$5</c:f>
              <c:strCache>
                <c:ptCount val="1"/>
                <c:pt idx="0">
                  <c:v>UCL(3σ)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3"/>
              <c:layout>
                <c:manualLayout>
                  <c:x val="1.2419745608721829E-2"/>
                  <c:y val="3.9058803607803583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  <a:fld id="{A8D0EDAD-B8AC-4DBF-89C6-B10E617CABDB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BE46-48F4-81EF-C1CA3E622D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'controll chart'!$A$6:$A$19</c:f>
              <c:numCache>
                <c:formatCode>m/d/yyyy</c:formatCode>
                <c:ptCount val="1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</c:numCache>
            </c:numRef>
          </c:cat>
          <c:val>
            <c:numRef>
              <c:f>'controll chart'!$D$6:$D$19</c:f>
              <c:numCache>
                <c:formatCode>General</c:formatCode>
                <c:ptCount val="14"/>
                <c:pt idx="0">
                  <c:v>33.255086321605908</c:v>
                </c:pt>
                <c:pt idx="1">
                  <c:v>33.255086321605908</c:v>
                </c:pt>
                <c:pt idx="2">
                  <c:v>33.255086321605908</c:v>
                </c:pt>
                <c:pt idx="3">
                  <c:v>33.255086321605908</c:v>
                </c:pt>
                <c:pt idx="4">
                  <c:v>33.255086321605908</c:v>
                </c:pt>
                <c:pt idx="5">
                  <c:v>33.255086321605908</c:v>
                </c:pt>
                <c:pt idx="6">
                  <c:v>33.255086321605908</c:v>
                </c:pt>
                <c:pt idx="7">
                  <c:v>33.255086321605908</c:v>
                </c:pt>
                <c:pt idx="8">
                  <c:v>33.255086321605908</c:v>
                </c:pt>
                <c:pt idx="9">
                  <c:v>33.255086321605908</c:v>
                </c:pt>
                <c:pt idx="10">
                  <c:v>33.255086321605908</c:v>
                </c:pt>
                <c:pt idx="11">
                  <c:v>33.255086321605908</c:v>
                </c:pt>
                <c:pt idx="12">
                  <c:v>33.255086321605908</c:v>
                </c:pt>
                <c:pt idx="13">
                  <c:v>33.255086321605908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46-48F4-81EF-C1CA3E622D9B}"/>
            </c:ext>
          </c:extLst>
        </c:ser>
        <c:ser>
          <c:idx val="3"/>
          <c:order val="3"/>
          <c:tx>
            <c:strRef>
              <c:f>'controll chart'!$E$5</c:f>
              <c:strCache>
                <c:ptCount val="1"/>
                <c:pt idx="0">
                  <c:v>LCL(3σ)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13"/>
              <c:layout>
                <c:manualLayout>
                  <c:x val="1.2419745608721829E-2"/>
                  <c:y val="-2.419230328656735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E46-48F4-81EF-C1CA3E622D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'controll chart'!$A$6:$A$19</c:f>
              <c:numCache>
                <c:formatCode>m/d/yyyy</c:formatCode>
                <c:ptCount val="1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</c:numCache>
            </c:numRef>
          </c:cat>
          <c:val>
            <c:numRef>
              <c:f>'controll chart'!$E$6:$E$19</c:f>
              <c:numCache>
                <c:formatCode>General</c:formatCode>
                <c:ptCount val="14"/>
                <c:pt idx="0">
                  <c:v>2.1734851069655221</c:v>
                </c:pt>
                <c:pt idx="1">
                  <c:v>2.1734851069655221</c:v>
                </c:pt>
                <c:pt idx="2">
                  <c:v>2.1734851069655221</c:v>
                </c:pt>
                <c:pt idx="3">
                  <c:v>2.1734851069655221</c:v>
                </c:pt>
                <c:pt idx="4">
                  <c:v>2.1734851069655221</c:v>
                </c:pt>
                <c:pt idx="5">
                  <c:v>2.1734851069655221</c:v>
                </c:pt>
                <c:pt idx="6">
                  <c:v>2.1734851069655221</c:v>
                </c:pt>
                <c:pt idx="7">
                  <c:v>2.1734851069655221</c:v>
                </c:pt>
                <c:pt idx="8">
                  <c:v>2.1734851069655221</c:v>
                </c:pt>
                <c:pt idx="9">
                  <c:v>2.1734851069655221</c:v>
                </c:pt>
                <c:pt idx="10">
                  <c:v>2.1734851069655221</c:v>
                </c:pt>
                <c:pt idx="11">
                  <c:v>2.1734851069655221</c:v>
                </c:pt>
                <c:pt idx="12">
                  <c:v>2.1734851069655221</c:v>
                </c:pt>
                <c:pt idx="13">
                  <c:v>2.1734851069655221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46-48F4-81EF-C1CA3E622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259199"/>
        <c:axId val="106259679"/>
      </c:lineChart>
      <c:dateAx>
        <c:axId val="106259199"/>
        <c:scaling>
          <c:orientation val="minMax"/>
        </c:scaling>
        <c:delete val="0"/>
        <c:axPos val="b"/>
        <c:title>
          <c:tx>
            <c:strRef>
              <c:f>Table1[[#Headers],[Date]]</c:f>
              <c:strCache>
                <c:ptCount val="1"/>
                <c:pt idx="0">
                  <c:v>Date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out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3060000" spcFirstLastPara="1" vertOverflow="ellipsis" vert="horz" wrap="square" anchor="ctr" anchorCtr="1"/>
          <a:lstStyle/>
          <a:p>
            <a:pPr algn="ctr"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59679"/>
        <c:crosses val="autoZero"/>
        <c:auto val="1"/>
        <c:lblOffset val="100"/>
        <c:baseTimeUnit val="days"/>
      </c:dateAx>
      <c:valAx>
        <c:axId val="106259679"/>
        <c:scaling>
          <c:orientation val="minMax"/>
        </c:scaling>
        <c:delete val="0"/>
        <c:axPos val="l"/>
        <c:title>
          <c:tx>
            <c:strRef>
              <c:f>Table1[[#Headers],[Measurement]]</c:f>
              <c:strCache>
                <c:ptCount val="1"/>
                <c:pt idx="0">
                  <c:v>Measurement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lang="en-US"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5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C000"/>
      </a:solidFill>
      <a:round/>
    </a:ln>
    <a:effectLst/>
  </c:spPr>
  <c:txPr>
    <a:bodyPr/>
    <a:lstStyle/>
    <a:p>
      <a:pPr algn="ctr">
        <a:defRPr lang="en-US" sz="1600" b="1" i="0" u="none" strike="noStrike" kern="1200" baseline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178263342082239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IN"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'defect_count_stability _check'!$B$3</c:f>
              <c:strCache>
                <c:ptCount val="1"/>
                <c:pt idx="0">
                  <c:v>Defect 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'defect_count_stability _check'!$B$4:$B$13</c:f>
              <c:numCache>
                <c:formatCode>General</c:formatCode>
                <c:ptCount val="10"/>
                <c:pt idx="0">
                  <c:v>12</c:v>
                </c:pt>
                <c:pt idx="1">
                  <c:v>10</c:v>
                </c:pt>
                <c:pt idx="2">
                  <c:v>14</c:v>
                </c:pt>
                <c:pt idx="3">
                  <c:v>11</c:v>
                </c:pt>
                <c:pt idx="4">
                  <c:v>13</c:v>
                </c:pt>
                <c:pt idx="5">
                  <c:v>9</c:v>
                </c:pt>
                <c:pt idx="6">
                  <c:v>25</c:v>
                </c:pt>
                <c:pt idx="7">
                  <c:v>12</c:v>
                </c:pt>
                <c:pt idx="8">
                  <c:v>15</c:v>
                </c:pt>
                <c:pt idx="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95-4DDA-8645-F976B95CA75C}"/>
            </c:ext>
          </c:extLst>
        </c:ser>
        <c:ser>
          <c:idx val="2"/>
          <c:order val="2"/>
          <c:tx>
            <c:strRef>
              <c:f>'defect_count_stability _check'!$C$3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D95-4DDA-8645-F976B95CA7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'defect_count_stability _check'!$C$4:$C$13</c:f>
              <c:numCache>
                <c:formatCode>General</c:formatCode>
                <c:ptCount val="10"/>
                <c:pt idx="0">
                  <c:v>13.2</c:v>
                </c:pt>
                <c:pt idx="1">
                  <c:v>13.2</c:v>
                </c:pt>
                <c:pt idx="2">
                  <c:v>13.2</c:v>
                </c:pt>
                <c:pt idx="3">
                  <c:v>13.2</c:v>
                </c:pt>
                <c:pt idx="4">
                  <c:v>13.2</c:v>
                </c:pt>
                <c:pt idx="5">
                  <c:v>13.2</c:v>
                </c:pt>
                <c:pt idx="6">
                  <c:v>13.2</c:v>
                </c:pt>
                <c:pt idx="7">
                  <c:v>13.2</c:v>
                </c:pt>
                <c:pt idx="8">
                  <c:v>13.2</c:v>
                </c:pt>
                <c:pt idx="9">
                  <c:v>13.2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95-4DDA-8645-F976B95CA75C}"/>
            </c:ext>
          </c:extLst>
        </c:ser>
        <c:ser>
          <c:idx val="3"/>
          <c:order val="3"/>
          <c:tx>
            <c:strRef>
              <c:f>'defect_count_stability _check'!$D$3</c:f>
              <c:strCache>
                <c:ptCount val="1"/>
                <c:pt idx="0">
                  <c:v>UCL(3σ)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95-4DDA-8645-F976B95CA7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'defect_count_stability _check'!$D$4:$D$13</c:f>
              <c:numCache>
                <c:formatCode>General</c:formatCode>
                <c:ptCount val="10"/>
                <c:pt idx="0">
                  <c:v>26.05457117137713</c:v>
                </c:pt>
                <c:pt idx="1">
                  <c:v>26.05457117137713</c:v>
                </c:pt>
                <c:pt idx="2">
                  <c:v>26.05457117137713</c:v>
                </c:pt>
                <c:pt idx="3">
                  <c:v>26.05457117137713</c:v>
                </c:pt>
                <c:pt idx="4">
                  <c:v>26.05457117137713</c:v>
                </c:pt>
                <c:pt idx="5">
                  <c:v>26.05457117137713</c:v>
                </c:pt>
                <c:pt idx="6">
                  <c:v>26.05457117137713</c:v>
                </c:pt>
                <c:pt idx="7">
                  <c:v>26.05457117137713</c:v>
                </c:pt>
                <c:pt idx="8">
                  <c:v>26.05457117137713</c:v>
                </c:pt>
                <c:pt idx="9">
                  <c:v>26.05457117137713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95-4DDA-8645-F976B95CA75C}"/>
            </c:ext>
          </c:extLst>
        </c:ser>
        <c:ser>
          <c:idx val="4"/>
          <c:order val="4"/>
          <c:tx>
            <c:strRef>
              <c:f>'defect_count_stability _check'!$E$3</c:f>
              <c:strCache>
                <c:ptCount val="1"/>
                <c:pt idx="0">
                  <c:v>LCL(3σ)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D95-4DDA-8645-F976B95CA7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'defect_count_stability _check'!$E$4:$E$13</c:f>
              <c:numCache>
                <c:formatCode>General</c:formatCode>
                <c:ptCount val="10"/>
                <c:pt idx="0">
                  <c:v>0.34542882862286817</c:v>
                </c:pt>
                <c:pt idx="1">
                  <c:v>0.34542882862286817</c:v>
                </c:pt>
                <c:pt idx="2">
                  <c:v>0.34542882862286817</c:v>
                </c:pt>
                <c:pt idx="3">
                  <c:v>0.34542882862286817</c:v>
                </c:pt>
                <c:pt idx="4">
                  <c:v>0.34542882862286817</c:v>
                </c:pt>
                <c:pt idx="5">
                  <c:v>0.34542882862286817</c:v>
                </c:pt>
                <c:pt idx="6">
                  <c:v>0.34542882862286817</c:v>
                </c:pt>
                <c:pt idx="7">
                  <c:v>0.34542882862286817</c:v>
                </c:pt>
                <c:pt idx="8">
                  <c:v>0.34542882862286817</c:v>
                </c:pt>
                <c:pt idx="9">
                  <c:v>0.34542882862286817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95-4DDA-8645-F976B95CA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871887"/>
        <c:axId val="28187380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'defect_count_stability _check'!$A$3</c15:sqref>
                        </c15:formulaRef>
                      </c:ext>
                    </c:extLst>
                    <c:strCache>
                      <c:ptCount val="1"/>
                      <c:pt idx="0">
                        <c:v>sprint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'defect_count_stability _check'!$A$4:$A$13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D95-4DDA-8645-F976B95CA75C}"/>
                  </c:ext>
                </c:extLst>
              </c15:ser>
            </c15:filteredLineSeries>
          </c:ext>
        </c:extLst>
      </c:lineChart>
      <c:catAx>
        <c:axId val="281871887"/>
        <c:scaling>
          <c:orientation val="minMax"/>
        </c:scaling>
        <c:delete val="0"/>
        <c:axPos val="b"/>
        <c:title>
          <c:tx>
            <c:strRef>
              <c:f>Table24[[#Headers],[sprint]]</c:f>
              <c:strCache>
                <c:ptCount val="1"/>
                <c:pt idx="0">
                  <c:v>sprint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73807"/>
        <c:crosses val="autoZero"/>
        <c:auto val="1"/>
        <c:lblAlgn val="ctr"/>
        <c:lblOffset val="100"/>
        <c:noMultiLvlLbl val="0"/>
      </c:catAx>
      <c:valAx>
        <c:axId val="281873807"/>
        <c:scaling>
          <c:orientation val="minMax"/>
        </c:scaling>
        <c:delete val="0"/>
        <c:axPos val="l"/>
        <c:title>
          <c:tx>
            <c:strRef>
              <c:f>Table24[[#Headers],[Defect Count]]</c:f>
              <c:strCache>
                <c:ptCount val="1"/>
                <c:pt idx="0">
                  <c:v>Defect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lang="en-IN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7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4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178263342082239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IN"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87795275590549"/>
          <c:y val="9.8415101958409051E-2"/>
          <c:w val="0.8448062577704103"/>
          <c:h val="0.65027929201157553"/>
        </c:manualLayout>
      </c:layout>
      <c:lineChart>
        <c:grouping val="standard"/>
        <c:varyColors val="0"/>
        <c:ser>
          <c:idx val="1"/>
          <c:order val="1"/>
          <c:tx>
            <c:strRef>
              <c:f>'defect_count_stability _check'!$B$3</c:f>
              <c:strCache>
                <c:ptCount val="1"/>
                <c:pt idx="0">
                  <c:v>Defect 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'defect_count_stability _check'!$B$4:$B$13</c:f>
              <c:numCache>
                <c:formatCode>General</c:formatCode>
                <c:ptCount val="10"/>
                <c:pt idx="0">
                  <c:v>12</c:v>
                </c:pt>
                <c:pt idx="1">
                  <c:v>10</c:v>
                </c:pt>
                <c:pt idx="2">
                  <c:v>14</c:v>
                </c:pt>
                <c:pt idx="3">
                  <c:v>11</c:v>
                </c:pt>
                <c:pt idx="4">
                  <c:v>13</c:v>
                </c:pt>
                <c:pt idx="5">
                  <c:v>9</c:v>
                </c:pt>
                <c:pt idx="6">
                  <c:v>25</c:v>
                </c:pt>
                <c:pt idx="7">
                  <c:v>12</c:v>
                </c:pt>
                <c:pt idx="8">
                  <c:v>15</c:v>
                </c:pt>
                <c:pt idx="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10-41C2-8968-C03910B91346}"/>
            </c:ext>
          </c:extLst>
        </c:ser>
        <c:ser>
          <c:idx val="2"/>
          <c:order val="2"/>
          <c:tx>
            <c:strRef>
              <c:f>'defect_count_stability _check'!$C$3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10-41C2-8968-C03910B913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'defect_count_stability _check'!$C$4:$C$13</c:f>
              <c:numCache>
                <c:formatCode>General</c:formatCode>
                <c:ptCount val="10"/>
                <c:pt idx="0">
                  <c:v>13.2</c:v>
                </c:pt>
                <c:pt idx="1">
                  <c:v>13.2</c:v>
                </c:pt>
                <c:pt idx="2">
                  <c:v>13.2</c:v>
                </c:pt>
                <c:pt idx="3">
                  <c:v>13.2</c:v>
                </c:pt>
                <c:pt idx="4">
                  <c:v>13.2</c:v>
                </c:pt>
                <c:pt idx="5">
                  <c:v>13.2</c:v>
                </c:pt>
                <c:pt idx="6">
                  <c:v>13.2</c:v>
                </c:pt>
                <c:pt idx="7">
                  <c:v>13.2</c:v>
                </c:pt>
                <c:pt idx="8">
                  <c:v>13.2</c:v>
                </c:pt>
                <c:pt idx="9">
                  <c:v>13.2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10-41C2-8968-C03910B91346}"/>
            </c:ext>
          </c:extLst>
        </c:ser>
        <c:ser>
          <c:idx val="3"/>
          <c:order val="3"/>
          <c:tx>
            <c:strRef>
              <c:f>'defect_count_stability _check'!$D$3</c:f>
              <c:strCache>
                <c:ptCount val="1"/>
                <c:pt idx="0">
                  <c:v>UCL(3σ)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10-41C2-8968-C03910B913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'defect_count_stability _check'!$D$4:$D$13</c:f>
              <c:numCache>
                <c:formatCode>General</c:formatCode>
                <c:ptCount val="10"/>
                <c:pt idx="0">
                  <c:v>26.05457117137713</c:v>
                </c:pt>
                <c:pt idx="1">
                  <c:v>26.05457117137713</c:v>
                </c:pt>
                <c:pt idx="2">
                  <c:v>26.05457117137713</c:v>
                </c:pt>
                <c:pt idx="3">
                  <c:v>26.05457117137713</c:v>
                </c:pt>
                <c:pt idx="4">
                  <c:v>26.05457117137713</c:v>
                </c:pt>
                <c:pt idx="5">
                  <c:v>26.05457117137713</c:v>
                </c:pt>
                <c:pt idx="6">
                  <c:v>26.05457117137713</c:v>
                </c:pt>
                <c:pt idx="7">
                  <c:v>26.05457117137713</c:v>
                </c:pt>
                <c:pt idx="8">
                  <c:v>26.05457117137713</c:v>
                </c:pt>
                <c:pt idx="9">
                  <c:v>26.05457117137713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10-41C2-8968-C03910B91346}"/>
            </c:ext>
          </c:extLst>
        </c:ser>
        <c:ser>
          <c:idx val="4"/>
          <c:order val="4"/>
          <c:tx>
            <c:strRef>
              <c:f>'defect_count_stability _check'!$E$3</c:f>
              <c:strCache>
                <c:ptCount val="1"/>
                <c:pt idx="0">
                  <c:v>LCL(3σ)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10-41C2-8968-C03910B913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'defect_count_stability _check'!$E$4:$E$13</c:f>
              <c:numCache>
                <c:formatCode>General</c:formatCode>
                <c:ptCount val="10"/>
                <c:pt idx="0">
                  <c:v>0.34542882862286817</c:v>
                </c:pt>
                <c:pt idx="1">
                  <c:v>0.34542882862286817</c:v>
                </c:pt>
                <c:pt idx="2">
                  <c:v>0.34542882862286817</c:v>
                </c:pt>
                <c:pt idx="3">
                  <c:v>0.34542882862286817</c:v>
                </c:pt>
                <c:pt idx="4">
                  <c:v>0.34542882862286817</c:v>
                </c:pt>
                <c:pt idx="5">
                  <c:v>0.34542882862286817</c:v>
                </c:pt>
                <c:pt idx="6">
                  <c:v>0.34542882862286817</c:v>
                </c:pt>
                <c:pt idx="7">
                  <c:v>0.34542882862286817</c:v>
                </c:pt>
                <c:pt idx="8">
                  <c:v>0.34542882862286817</c:v>
                </c:pt>
                <c:pt idx="9">
                  <c:v>0.34542882862286817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410-41C2-8968-C03910B91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871887"/>
        <c:axId val="28187380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'defect_count_stability _check'!$A$3</c15:sqref>
                        </c15:formulaRef>
                      </c:ext>
                    </c:extLst>
                    <c:strCache>
                      <c:ptCount val="1"/>
                      <c:pt idx="0">
                        <c:v>sprint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'defect_count_stability _check'!$A$4:$A$13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6410-41C2-8968-C03910B91346}"/>
                  </c:ext>
                </c:extLst>
              </c15:ser>
            </c15:filteredLineSeries>
          </c:ext>
        </c:extLst>
      </c:lineChart>
      <c:catAx>
        <c:axId val="281871887"/>
        <c:scaling>
          <c:orientation val="minMax"/>
        </c:scaling>
        <c:delete val="0"/>
        <c:axPos val="b"/>
        <c:title>
          <c:tx>
            <c:strRef>
              <c:f>'defect_count_stability _check'!$A$3</c:f>
              <c:strCache>
                <c:ptCount val="1"/>
                <c:pt idx="0">
                  <c:v>sprint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73807"/>
        <c:crosses val="autoZero"/>
        <c:auto val="1"/>
        <c:lblAlgn val="ctr"/>
        <c:lblOffset val="100"/>
        <c:noMultiLvlLbl val="0"/>
      </c:catAx>
      <c:valAx>
        <c:axId val="281873807"/>
        <c:scaling>
          <c:orientation val="minMax"/>
        </c:scaling>
        <c:delete val="0"/>
        <c:axPos val="l"/>
        <c:title>
          <c:tx>
            <c:strRef>
              <c:f>'defect_count_stability _check'!$B$3</c:f>
              <c:strCache>
                <c:ptCount val="1"/>
                <c:pt idx="0">
                  <c:v>Defect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lang="en-IN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7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4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control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33289121777929"/>
          <c:y val="8.0442173140613679E-2"/>
          <c:w val="0.89008369060628989"/>
          <c:h val="0.8240546794464062"/>
        </c:manualLayout>
      </c:layout>
      <c:lineChart>
        <c:grouping val="standard"/>
        <c:varyColors val="0"/>
        <c:ser>
          <c:idx val="1"/>
          <c:order val="1"/>
          <c:tx>
            <c:strRef>
              <c:f>defect_leakage!$D$2</c:f>
              <c:strCache>
                <c:ptCount val="1"/>
                <c:pt idx="0">
                  <c:v>defect leakage %
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defect_leakage!$D$3:$D$8</c:f>
              <c:numCache>
                <c:formatCode>0.0%</c:formatCode>
                <c:ptCount val="6"/>
                <c:pt idx="0">
                  <c:v>0.04</c:v>
                </c:pt>
                <c:pt idx="1">
                  <c:v>7.7669902912621352E-2</c:v>
                </c:pt>
                <c:pt idx="2">
                  <c:v>5.1724137931034482E-2</c:v>
                </c:pt>
                <c:pt idx="3">
                  <c:v>8.4507042253521125E-2</c:v>
                </c:pt>
                <c:pt idx="4">
                  <c:v>3.8461538461538464E-2</c:v>
                </c:pt>
                <c:pt idx="5">
                  <c:v>5.737704918032787E-2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3D-4589-A1F5-BD235D481C49}"/>
            </c:ext>
          </c:extLst>
        </c:ser>
        <c:ser>
          <c:idx val="2"/>
          <c:order val="2"/>
          <c:tx>
            <c:strRef>
              <c:f>defect_leakage!$E$2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83D-4589-A1F5-BD235D481C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defect_leakage!$E$3:$E$8</c:f>
              <c:numCache>
                <c:formatCode>0.0%</c:formatCode>
                <c:ptCount val="6"/>
                <c:pt idx="0">
                  <c:v>5.8289945123173877E-2</c:v>
                </c:pt>
                <c:pt idx="1">
                  <c:v>5.8289945123173877E-2</c:v>
                </c:pt>
                <c:pt idx="2">
                  <c:v>5.8289945123173877E-2</c:v>
                </c:pt>
                <c:pt idx="3">
                  <c:v>5.8289945123173877E-2</c:v>
                </c:pt>
                <c:pt idx="4">
                  <c:v>5.8289945123173877E-2</c:v>
                </c:pt>
                <c:pt idx="5">
                  <c:v>5.8289945123173877E-2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3D-4589-A1F5-BD235D481C49}"/>
            </c:ext>
          </c:extLst>
        </c:ser>
        <c:ser>
          <c:idx val="3"/>
          <c:order val="3"/>
          <c:tx>
            <c:strRef>
              <c:f>defect_leakage!$F$2</c:f>
              <c:strCache>
                <c:ptCount val="1"/>
                <c:pt idx="0">
                  <c:v>UCL(3σ)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83D-4589-A1F5-BD235D481C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defect_leakage!$F$3:$F$8</c:f>
              <c:numCache>
                <c:formatCode>0.0%</c:formatCode>
                <c:ptCount val="6"/>
                <c:pt idx="0">
                  <c:v>9.2457839532774394E-2</c:v>
                </c:pt>
                <c:pt idx="1">
                  <c:v>0.13012774244539577</c:v>
                </c:pt>
                <c:pt idx="2">
                  <c:v>0.10418197746380889</c:v>
                </c:pt>
                <c:pt idx="3">
                  <c:v>0.13696488178629551</c:v>
                </c:pt>
                <c:pt idx="4">
                  <c:v>9.0919377994312864E-2</c:v>
                </c:pt>
                <c:pt idx="5">
                  <c:v>0.10983488871310226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3D-4589-A1F5-BD235D481C49}"/>
            </c:ext>
          </c:extLst>
        </c:ser>
        <c:ser>
          <c:idx val="4"/>
          <c:order val="4"/>
          <c:tx>
            <c:strRef>
              <c:f>defect_leakage!$G$2</c:f>
              <c:strCache>
                <c:ptCount val="1"/>
                <c:pt idx="0">
                  <c:v>lCL(3σ)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83D-4589-A1F5-BD235D481C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defect_leakage!$G$3:$G$8</c:f>
              <c:numCache>
                <c:formatCode>0.0%</c:formatCode>
                <c:ptCount val="6"/>
                <c:pt idx="0">
                  <c:v>-1.2457839532774399E-2</c:v>
                </c:pt>
                <c:pt idx="1">
                  <c:v>2.5212063379846952E-2</c:v>
                </c:pt>
                <c:pt idx="2">
                  <c:v>-7.3370160173991811E-4</c:v>
                </c:pt>
                <c:pt idx="3">
                  <c:v>3.2049202720746725E-2</c:v>
                </c:pt>
                <c:pt idx="4">
                  <c:v>-1.3996301071235936E-2</c:v>
                </c:pt>
                <c:pt idx="5">
                  <c:v>4.91920964755347E-3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3D-4589-A1F5-BD235D481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439551"/>
        <c:axId val="111144147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defect_leakage!$A$2</c15:sqref>
                        </c15:formulaRef>
                      </c:ext>
                    </c:extLst>
                    <c:strCache>
                      <c:ptCount val="1"/>
                      <c:pt idx="0">
                        <c:v>Release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defect_leakage!$A$3:$A$8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983D-4589-A1F5-BD235D481C49}"/>
                  </c:ext>
                </c:extLst>
              </c15:ser>
            </c15:filteredLineSeries>
          </c:ext>
        </c:extLst>
      </c:lineChart>
      <c:catAx>
        <c:axId val="1111439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441471"/>
        <c:crosses val="autoZero"/>
        <c:auto val="1"/>
        <c:lblAlgn val="ctr"/>
        <c:lblOffset val="100"/>
        <c:noMultiLvlLbl val="0"/>
      </c:catAx>
      <c:valAx>
        <c:axId val="1111441471"/>
        <c:scaling>
          <c:orientation val="minMax"/>
          <c:max val="0.14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out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43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200" b="1" i="0" u="none" strike="noStrike" kern="1200" baseline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control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027479919281451E-2"/>
          <c:y val="3.6938334474495037E-2"/>
          <c:w val="0.90787729658792649"/>
          <c:h val="0.62906862075766545"/>
        </c:manualLayout>
      </c:layout>
      <c:lineChart>
        <c:grouping val="standard"/>
        <c:varyColors val="0"/>
        <c:ser>
          <c:idx val="1"/>
          <c:order val="1"/>
          <c:tx>
            <c:strRef>
              <c:f>defect_leakage!$D$2</c:f>
              <c:strCache>
                <c:ptCount val="1"/>
                <c:pt idx="0">
                  <c:v>defect leakage %
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defect_leakage!$D$3:$D$8</c:f>
              <c:numCache>
                <c:formatCode>0.0%</c:formatCode>
                <c:ptCount val="6"/>
                <c:pt idx="0">
                  <c:v>0.04</c:v>
                </c:pt>
                <c:pt idx="1">
                  <c:v>7.7669902912621352E-2</c:v>
                </c:pt>
                <c:pt idx="2">
                  <c:v>5.1724137931034482E-2</c:v>
                </c:pt>
                <c:pt idx="3">
                  <c:v>8.4507042253521125E-2</c:v>
                </c:pt>
                <c:pt idx="4">
                  <c:v>3.8461538461538464E-2</c:v>
                </c:pt>
                <c:pt idx="5">
                  <c:v>5.737704918032787E-2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19-4C8B-BAEA-AD6909A1E9DA}"/>
            </c:ext>
          </c:extLst>
        </c:ser>
        <c:ser>
          <c:idx val="2"/>
          <c:order val="2"/>
          <c:tx>
            <c:strRef>
              <c:f>defect_leakage!$E$2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819-4C8B-BAEA-AD6909A1E9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defect_leakage!$E$3:$E$8</c:f>
              <c:numCache>
                <c:formatCode>0.0%</c:formatCode>
                <c:ptCount val="6"/>
                <c:pt idx="0">
                  <c:v>5.8289945123173877E-2</c:v>
                </c:pt>
                <c:pt idx="1">
                  <c:v>5.8289945123173877E-2</c:v>
                </c:pt>
                <c:pt idx="2">
                  <c:v>5.8289945123173877E-2</c:v>
                </c:pt>
                <c:pt idx="3">
                  <c:v>5.8289945123173877E-2</c:v>
                </c:pt>
                <c:pt idx="4">
                  <c:v>5.8289945123173877E-2</c:v>
                </c:pt>
                <c:pt idx="5">
                  <c:v>5.8289945123173877E-2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19-4C8B-BAEA-AD6909A1E9DA}"/>
            </c:ext>
          </c:extLst>
        </c:ser>
        <c:ser>
          <c:idx val="3"/>
          <c:order val="3"/>
          <c:tx>
            <c:strRef>
              <c:f>defect_leakage!$F$2</c:f>
              <c:strCache>
                <c:ptCount val="1"/>
                <c:pt idx="0">
                  <c:v>UCL(3σ)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19-4C8B-BAEA-AD6909A1E9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defect_leakage!$F$3:$F$8</c:f>
              <c:numCache>
                <c:formatCode>0.0%</c:formatCode>
                <c:ptCount val="6"/>
                <c:pt idx="0">
                  <c:v>9.2457839532774394E-2</c:v>
                </c:pt>
                <c:pt idx="1">
                  <c:v>0.13012774244539577</c:v>
                </c:pt>
                <c:pt idx="2">
                  <c:v>0.10418197746380889</c:v>
                </c:pt>
                <c:pt idx="3">
                  <c:v>0.13696488178629551</c:v>
                </c:pt>
                <c:pt idx="4">
                  <c:v>9.0919377994312864E-2</c:v>
                </c:pt>
                <c:pt idx="5">
                  <c:v>0.10983488871310226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19-4C8B-BAEA-AD6909A1E9DA}"/>
            </c:ext>
          </c:extLst>
        </c:ser>
        <c:ser>
          <c:idx val="4"/>
          <c:order val="4"/>
          <c:tx>
            <c:strRef>
              <c:f>defect_leakage!$G$2</c:f>
              <c:strCache>
                <c:ptCount val="1"/>
                <c:pt idx="0">
                  <c:v>lCL(3σ)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819-4C8B-BAEA-AD6909A1E9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defect_leakage!$G$3:$G$8</c:f>
              <c:numCache>
                <c:formatCode>0.0%</c:formatCode>
                <c:ptCount val="6"/>
                <c:pt idx="0">
                  <c:v>-1.2457839532774399E-2</c:v>
                </c:pt>
                <c:pt idx="1">
                  <c:v>2.5212063379846952E-2</c:v>
                </c:pt>
                <c:pt idx="2">
                  <c:v>-7.3370160173991811E-4</c:v>
                </c:pt>
                <c:pt idx="3">
                  <c:v>3.2049202720746725E-2</c:v>
                </c:pt>
                <c:pt idx="4">
                  <c:v>-1.3996301071235936E-2</c:v>
                </c:pt>
                <c:pt idx="5">
                  <c:v>4.91920964755347E-3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19-4C8B-BAEA-AD6909A1E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439551"/>
        <c:axId val="111144147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defect_leakage!$A$2</c15:sqref>
                        </c15:formulaRef>
                      </c:ext>
                    </c:extLst>
                    <c:strCache>
                      <c:ptCount val="1"/>
                      <c:pt idx="0">
                        <c:v>Release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defect_leakage!$A$3:$A$8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819-4C8B-BAEA-AD6909A1E9DA}"/>
                  </c:ext>
                </c:extLst>
              </c15:ser>
            </c15:filteredLineSeries>
          </c:ext>
        </c:extLst>
      </c:lineChart>
      <c:catAx>
        <c:axId val="1111439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441471"/>
        <c:crosses val="autoZero"/>
        <c:auto val="1"/>
        <c:lblAlgn val="ctr"/>
        <c:lblOffset val="100"/>
        <c:noMultiLvlLbl val="0"/>
      </c:catAx>
      <c:valAx>
        <c:axId val="1111441471"/>
        <c:scaling>
          <c:orientation val="minMax"/>
          <c:max val="0.14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out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43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200" b="1" i="0" u="none" strike="noStrike" kern="1200" baseline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control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027479919281451E-2"/>
          <c:y val="3.6938334474495037E-2"/>
          <c:w val="0.90787729658792649"/>
          <c:h val="0.62906862075766545"/>
        </c:manualLayout>
      </c:layout>
      <c:lineChart>
        <c:grouping val="standard"/>
        <c:varyColors val="0"/>
        <c:ser>
          <c:idx val="1"/>
          <c:order val="1"/>
          <c:tx>
            <c:strRef>
              <c:f>defect_leakage!$D$2</c:f>
              <c:strCache>
                <c:ptCount val="1"/>
                <c:pt idx="0">
                  <c:v>defect leakage %
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defect_leakage!$D$3:$D$8</c:f>
              <c:numCache>
                <c:formatCode>0.0%</c:formatCode>
                <c:ptCount val="6"/>
                <c:pt idx="0">
                  <c:v>0.04</c:v>
                </c:pt>
                <c:pt idx="1">
                  <c:v>7.7669902912621352E-2</c:v>
                </c:pt>
                <c:pt idx="2">
                  <c:v>5.1724137931034482E-2</c:v>
                </c:pt>
                <c:pt idx="3">
                  <c:v>8.4507042253521125E-2</c:v>
                </c:pt>
                <c:pt idx="4">
                  <c:v>3.8461538461538464E-2</c:v>
                </c:pt>
                <c:pt idx="5">
                  <c:v>5.737704918032787E-2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19-4C8B-BAEA-AD6909A1E9DA}"/>
            </c:ext>
          </c:extLst>
        </c:ser>
        <c:ser>
          <c:idx val="2"/>
          <c:order val="2"/>
          <c:tx>
            <c:strRef>
              <c:f>defect_leakage!$E$2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819-4C8B-BAEA-AD6909A1E9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defect_leakage!$E$3:$E$8</c:f>
              <c:numCache>
                <c:formatCode>0.0%</c:formatCode>
                <c:ptCount val="6"/>
                <c:pt idx="0">
                  <c:v>5.8289945123173877E-2</c:v>
                </c:pt>
                <c:pt idx="1">
                  <c:v>5.8289945123173877E-2</c:v>
                </c:pt>
                <c:pt idx="2">
                  <c:v>5.8289945123173877E-2</c:v>
                </c:pt>
                <c:pt idx="3">
                  <c:v>5.8289945123173877E-2</c:v>
                </c:pt>
                <c:pt idx="4">
                  <c:v>5.8289945123173877E-2</c:v>
                </c:pt>
                <c:pt idx="5">
                  <c:v>5.8289945123173877E-2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19-4C8B-BAEA-AD6909A1E9DA}"/>
            </c:ext>
          </c:extLst>
        </c:ser>
        <c:ser>
          <c:idx val="3"/>
          <c:order val="3"/>
          <c:tx>
            <c:strRef>
              <c:f>defect_leakage!$F$2</c:f>
              <c:strCache>
                <c:ptCount val="1"/>
                <c:pt idx="0">
                  <c:v>UCL(3σ)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19-4C8B-BAEA-AD6909A1E9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defect_leakage!$F$3:$F$8</c:f>
              <c:numCache>
                <c:formatCode>0.0%</c:formatCode>
                <c:ptCount val="6"/>
                <c:pt idx="0">
                  <c:v>9.2457839532774394E-2</c:v>
                </c:pt>
                <c:pt idx="1">
                  <c:v>0.13012774244539577</c:v>
                </c:pt>
                <c:pt idx="2">
                  <c:v>0.10418197746380889</c:v>
                </c:pt>
                <c:pt idx="3">
                  <c:v>0.13696488178629551</c:v>
                </c:pt>
                <c:pt idx="4">
                  <c:v>9.0919377994312864E-2</c:v>
                </c:pt>
                <c:pt idx="5">
                  <c:v>0.10983488871310226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19-4C8B-BAEA-AD6909A1E9DA}"/>
            </c:ext>
          </c:extLst>
        </c:ser>
        <c:ser>
          <c:idx val="4"/>
          <c:order val="4"/>
          <c:tx>
            <c:strRef>
              <c:f>defect_leakage!$G$2</c:f>
              <c:strCache>
                <c:ptCount val="1"/>
                <c:pt idx="0">
                  <c:v>lCL(3σ)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819-4C8B-BAEA-AD6909A1E9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defect_leakage!$G$3:$G$8</c:f>
              <c:numCache>
                <c:formatCode>0.0%</c:formatCode>
                <c:ptCount val="6"/>
                <c:pt idx="0">
                  <c:v>-1.2457839532774399E-2</c:v>
                </c:pt>
                <c:pt idx="1">
                  <c:v>2.5212063379846952E-2</c:v>
                </c:pt>
                <c:pt idx="2">
                  <c:v>-7.3370160173991811E-4</c:v>
                </c:pt>
                <c:pt idx="3">
                  <c:v>3.2049202720746725E-2</c:v>
                </c:pt>
                <c:pt idx="4">
                  <c:v>-1.3996301071235936E-2</c:v>
                </c:pt>
                <c:pt idx="5">
                  <c:v>4.91920964755347E-3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19-4C8B-BAEA-AD6909A1E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439551"/>
        <c:axId val="111144147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defect_leakage!$A$2</c15:sqref>
                        </c15:formulaRef>
                      </c:ext>
                    </c:extLst>
                    <c:strCache>
                      <c:ptCount val="1"/>
                      <c:pt idx="0">
                        <c:v>Release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defect_leakage!$A$3:$A$8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819-4C8B-BAEA-AD6909A1E9DA}"/>
                  </c:ext>
                </c:extLst>
              </c15:ser>
            </c15:filteredLineSeries>
          </c:ext>
        </c:extLst>
      </c:lineChart>
      <c:catAx>
        <c:axId val="1111439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441471"/>
        <c:crosses val="autoZero"/>
        <c:auto val="1"/>
        <c:lblAlgn val="ctr"/>
        <c:lblOffset val="100"/>
        <c:noMultiLvlLbl val="0"/>
      </c:catAx>
      <c:valAx>
        <c:axId val="1111441471"/>
        <c:scaling>
          <c:orientation val="minMax"/>
          <c:max val="0.14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out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43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200" b="1" i="0" u="none" strike="noStrike" kern="1200" baseline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32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666070150322123E-2"/>
          <c:y val="0.1340444397312289"/>
          <c:w val="0.91833392984967788"/>
          <c:h val="0.6571774908607804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histogram!$F$1</c:f>
              <c:strCache>
                <c:ptCount val="1"/>
                <c:pt idx="0">
                  <c:v>Freequency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lang="en-US" sz="1100" b="1" i="0" u="none" strike="noStrike" kern="1200" baseline="0">
                    <a:solidFill>
                      <a:srgbClr val="92D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histogram!$D$2:$D$10</c:f>
              <c:strCache>
                <c:ptCount val="9"/>
                <c:pt idx="0">
                  <c:v>0-10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41-50</c:v>
                </c:pt>
                <c:pt idx="5">
                  <c:v>51-60</c:v>
                </c:pt>
                <c:pt idx="6">
                  <c:v>61-70</c:v>
                </c:pt>
                <c:pt idx="7">
                  <c:v>71-80</c:v>
                </c:pt>
                <c:pt idx="8">
                  <c:v>81-100</c:v>
                </c:pt>
              </c:strCache>
            </c:strRef>
          </c:cat>
          <c:val>
            <c:numRef>
              <c:f>histogram!$F$2:$F$10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C9-41DB-B8D6-E0D929FD6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3105279"/>
        <c:axId val="1793117759"/>
      </c:barChart>
      <c:catAx>
        <c:axId val="1793105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117759"/>
        <c:crosses val="autoZero"/>
        <c:auto val="1"/>
        <c:lblAlgn val="ctr"/>
        <c:lblOffset val="100"/>
        <c:noMultiLvlLbl val="0"/>
      </c:catAx>
      <c:valAx>
        <c:axId val="179311775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10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65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 algn="ctr">
        <a:defRPr lang="en-US" sz="1100" b="1" i="0" u="none" strike="noStrike" kern="1200" baseline="0">
          <a:solidFill>
            <a:srgbClr val="00206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Histo_1!$G$1</c:f>
              <c:strCache>
                <c:ptCount val="1"/>
                <c:pt idx="0">
                  <c:v>Freequency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65000"/>
                </a:schemeClr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Histo_1!$E$2:$E$6</c:f>
              <c:strCache>
                <c:ptCount val="5"/>
                <c:pt idx="0">
                  <c:v>0-5</c:v>
                </c:pt>
                <c:pt idx="1">
                  <c:v>6-10</c:v>
                </c:pt>
                <c:pt idx="2">
                  <c:v>11-15</c:v>
                </c:pt>
                <c:pt idx="3">
                  <c:v>16-20</c:v>
                </c:pt>
                <c:pt idx="4">
                  <c:v>21-25</c:v>
                </c:pt>
              </c:strCache>
            </c:strRef>
          </c:cat>
          <c:val>
            <c:numRef>
              <c:f>Histo_1!$G$2:$G$6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EA-4CBC-A478-4C610262C1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07716479"/>
        <c:axId val="1107717439"/>
      </c:barChart>
      <c:catAx>
        <c:axId val="110771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717439"/>
        <c:crosses val="autoZero"/>
        <c:auto val="1"/>
        <c:lblAlgn val="ctr"/>
        <c:lblOffset val="100"/>
        <c:noMultiLvlLbl val="0"/>
      </c:catAx>
      <c:valAx>
        <c:axId val="110771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71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220980</xdr:colOff>
      <xdr:row>3</xdr:row>
      <xdr:rowOff>152400</xdr:rowOff>
    </xdr:from>
    <xdr:to>
      <xdr:col>12</xdr:col>
      <xdr:colOff>617220</xdr:colOff>
      <xdr:row>20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2F8B8F-B4B0-FFDA-9659-2F4096BAA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0.81667</cdr:x>
      <cdr:y>0.08159</cdr:y>
    </cdr:from>
    <cdr:to>
      <cdr:x>0.97051</cdr:x>
      <cdr:y>0.3093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D2CC472-6AD9-753B-328C-25F271FFDDAF}"/>
            </a:ext>
          </a:extLst>
        </cdr:cNvPr>
        <cdr:cNvSpPr txBox="1"/>
      </cdr:nvSpPr>
      <cdr:spPr>
        <a:xfrm xmlns:a="http://schemas.openxmlformats.org/drawingml/2006/main">
          <a:off x="4853940" y="32766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121920</xdr:colOff>
      <xdr:row>0</xdr:row>
      <xdr:rowOff>99060</xdr:rowOff>
    </xdr:from>
    <xdr:to>
      <xdr:col>13</xdr:col>
      <xdr:colOff>365760</xdr:colOff>
      <xdr:row>15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D33395-5DBE-BDC7-3253-BCBA3779C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7</xdr:col>
      <xdr:colOff>243840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708266-9533-465B-BCF5-98C6846FF2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441960</xdr:colOff>
      <xdr:row>0</xdr:row>
      <xdr:rowOff>15240</xdr:rowOff>
    </xdr:from>
    <xdr:to>
      <xdr:col>13</xdr:col>
      <xdr:colOff>777240</xdr:colOff>
      <xdr:row>16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AD78DF-3015-42B1-B85C-EFF55910FB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327660</xdr:colOff>
      <xdr:row>15</xdr:row>
      <xdr:rowOff>114300</xdr:rowOff>
    </xdr:from>
    <xdr:to>
      <xdr:col>11</xdr:col>
      <xdr:colOff>403860</xdr:colOff>
      <xdr:row>27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7F2DAE-C4AF-6E0B-C35D-20267E4FE9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83820</xdr:colOff>
      <xdr:row>0</xdr:row>
      <xdr:rowOff>205740</xdr:rowOff>
    </xdr:from>
    <xdr:to>
      <xdr:col>13</xdr:col>
      <xdr:colOff>274320</xdr:colOff>
      <xdr:row>8</xdr:row>
      <xdr:rowOff>205740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B3E560-119B-79C0-D670-6593C763B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4</xdr:row>
      <xdr:rowOff>110490</xdr:rowOff>
    </xdr:from>
    <xdr:to>
      <xdr:col>14</xdr:col>
      <xdr:colOff>144780</xdr:colOff>
      <xdr:row>19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7B41F9-4792-120B-8A05-DEAAB11A7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251460</xdr:colOff>
      <xdr:row>0</xdr:row>
      <xdr:rowOff>0</xdr:rowOff>
    </xdr:from>
    <xdr:to>
      <xdr:col>13</xdr:col>
      <xdr:colOff>68580</xdr:colOff>
      <xdr:row>11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93563D-199F-4AF6-FFF3-A1379B287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167BE-DA65-45F3-AA91-AE389F707565}" name="Table1" displayName="Table1" ref="A5:E19" totalsRowShown="0" headerRowDxfId="15" headerRowBorderDxfId="22" tableBorderDxfId="23" totalsRowBorderDxfId="21">
  <autoFilter ref="A5:E19" xr:uid="{BCA167BE-DA65-45F3-AA91-AE389F707565}"/>
  <tableColumns count="5">
    <tableColumn id="1" xr3:uid="{D6516BF7-EBC3-4C45-A872-00EA76770829}" name="Date" dataDxfId="20"/>
    <tableColumn id="2" xr3:uid="{D3998561-E4C2-4AE0-89C9-0FB25E866FF4}" name="Measurement" dataDxfId="19"/>
    <tableColumn id="3" xr3:uid="{DCC9001D-A992-4499-B374-8E7E57BB8254}" name="Mean" dataDxfId="18">
      <calculatedColumnFormula>$C$2</calculatedColumnFormula>
    </tableColumn>
    <tableColumn id="4" xr3:uid="{0B5ED657-F4E4-4C08-BB3E-F272A37A1196}" name="UCL(3σ)" dataDxfId="17">
      <calculatedColumnFormula>C6+(3*$C$3)</calculatedColumnFormula>
    </tableColumn>
    <tableColumn id="5" xr3:uid="{27EDE8BC-26AA-4EA6-ABFB-C3DECF0107EF}" name="LCL(3σ)" dataDxfId="16">
      <calculatedColumnFormula>C6-(3*$C$3)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FB1373-27B7-4B82-A706-1004404DF694}" name="Table24" displayName="Table24" ref="A3:E13" totalsRowShown="0" headerRowDxfId="14" headerRowBorderDxfId="12" tableBorderDxfId="13" totalsRowBorderDxfId="11">
  <autoFilter ref="A3:E13" xr:uid="{78FB1373-27B7-4B82-A706-1004404DF694}"/>
  <tableColumns count="5">
    <tableColumn id="1" xr3:uid="{7E3C0516-06A1-462E-929A-6C5C2AC61A8A}" name="sprint" dataDxfId="10"/>
    <tableColumn id="2" xr3:uid="{E60AD427-545E-4660-A094-9A0C09EC8658}" name="Defect Count" dataDxfId="9"/>
    <tableColumn id="3" xr3:uid="{220BD18B-83ED-4B92-8FAE-DC59CBD21E68}" name="Mean" dataDxfId="8">
      <calculatedColumnFormula>$D$1</calculatedColumnFormula>
    </tableColumn>
    <tableColumn id="4" xr3:uid="{A3E6485E-90FB-4680-983B-1F66D6B292FC}" name="UCL(3σ)" dataDxfId="7">
      <calculatedColumnFormula>C4+(3*$D$2)</calculatedColumnFormula>
    </tableColumn>
    <tableColumn id="5" xr3:uid="{D6C5A20F-9C6E-404C-A153-CFD956044922}" name="LCL(3σ)" dataDxfId="6">
      <calculatedColumnFormula>C4-(3*$D$2)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0DC1BC-AB79-460E-B7A6-18282123EEAA}" name="Table4" displayName="Table4" ref="A1:B14" totalsRowShown="0" headerRowDxfId="0" headerRowBorderDxfId="4" tableBorderDxfId="5" totalsRowBorderDxfId="3">
  <autoFilter ref="A1:B14" xr:uid="{BE0DC1BC-AB79-460E-B7A6-18282123EEAA}"/>
  <tableColumns count="2">
    <tableColumn id="1" xr3:uid="{3EA3A6F7-C422-438C-A8DF-6E2EC5C320C3}" name="Name" dataDxfId="2"/>
    <tableColumn id="2" xr3:uid="{CEE1EBAB-B26E-424C-B555-4D2E07DDA7A6}" name="sal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CFCA-BC7A-47A5-BD06-46AA8DA418F0}">
  <dimension ref="A2:E19"/>
  <sheetViews>
    <sheetView topLeftCell="A5" workbookViewId="0">
      <selection activeCell="D8" sqref="D8"/>
    </sheetView>
  </sheetViews>
  <sheetFormatPr defaultRowHeight="18" x14ac:dyDescent="0.35"/>
  <cols>
    <col min="1" max="1" width="9.9140625" bestFit="1" customWidth="1"/>
    <col min="2" max="2" width="13.5" customWidth="1"/>
  </cols>
  <sheetData>
    <row r="2" spans="1:5" x14ac:dyDescent="0.35">
      <c r="B2" t="s">
        <v>0</v>
      </c>
      <c r="C2">
        <f>AVERAGE(B6:B19)</f>
        <v>17.714285714285715</v>
      </c>
    </row>
    <row r="3" spans="1:5" x14ac:dyDescent="0.35">
      <c r="B3" t="s">
        <v>1</v>
      </c>
      <c r="C3">
        <f>_xlfn.STDEV.S(B6:B19)</f>
        <v>5.1802668691067311</v>
      </c>
    </row>
    <row r="5" spans="1:5" ht="18.600000000000001" thickBot="1" x14ac:dyDescent="0.4">
      <c r="A5" s="5" t="s">
        <v>5</v>
      </c>
      <c r="B5" s="6" t="s">
        <v>2</v>
      </c>
      <c r="C5" s="6" t="s">
        <v>0</v>
      </c>
      <c r="D5" s="6" t="s">
        <v>3</v>
      </c>
      <c r="E5" s="7" t="s">
        <v>4</v>
      </c>
    </row>
    <row r="6" spans="1:5" ht="18.600000000000001" thickBot="1" x14ac:dyDescent="0.4">
      <c r="A6" s="3">
        <v>46023</v>
      </c>
      <c r="B6" s="1">
        <v>18</v>
      </c>
      <c r="C6" s="1">
        <f>$C$2</f>
        <v>17.714285714285715</v>
      </c>
      <c r="D6" s="1">
        <f>C6+(3*$C$3)</f>
        <v>33.255086321605908</v>
      </c>
      <c r="E6" s="4">
        <f>C6-(3*$C$3)</f>
        <v>2.1734851069655221</v>
      </c>
    </row>
    <row r="7" spans="1:5" ht="18.600000000000001" thickBot="1" x14ac:dyDescent="0.4">
      <c r="A7" s="3">
        <v>46024</v>
      </c>
      <c r="B7" s="1">
        <v>21</v>
      </c>
      <c r="C7" s="1">
        <f t="shared" ref="C7:C19" si="0">$C$2</f>
        <v>17.714285714285715</v>
      </c>
      <c r="D7" s="1">
        <f t="shared" ref="D7:D19" si="1">C7+(3*$C$3)</f>
        <v>33.255086321605908</v>
      </c>
      <c r="E7" s="4">
        <f t="shared" ref="E7:E19" si="2">C7-(3*$C$3)</f>
        <v>2.1734851069655221</v>
      </c>
    </row>
    <row r="8" spans="1:5" ht="18.600000000000001" thickBot="1" x14ac:dyDescent="0.4">
      <c r="A8" s="3">
        <v>46025</v>
      </c>
      <c r="B8" s="1">
        <v>13</v>
      </c>
      <c r="C8" s="1">
        <f t="shared" si="0"/>
        <v>17.714285714285715</v>
      </c>
      <c r="D8" s="1">
        <f t="shared" si="1"/>
        <v>33.255086321605908</v>
      </c>
      <c r="E8" s="4">
        <f t="shared" si="2"/>
        <v>2.1734851069655221</v>
      </c>
    </row>
    <row r="9" spans="1:5" ht="18.600000000000001" thickBot="1" x14ac:dyDescent="0.4">
      <c r="A9" s="3">
        <v>46026</v>
      </c>
      <c r="B9" s="1">
        <v>15</v>
      </c>
      <c r="C9" s="1">
        <f t="shared" si="0"/>
        <v>17.714285714285715</v>
      </c>
      <c r="D9" s="1">
        <f t="shared" si="1"/>
        <v>33.255086321605908</v>
      </c>
      <c r="E9" s="4">
        <f t="shared" si="2"/>
        <v>2.1734851069655221</v>
      </c>
    </row>
    <row r="10" spans="1:5" ht="18.600000000000001" thickBot="1" x14ac:dyDescent="0.4">
      <c r="A10" s="3">
        <v>46027</v>
      </c>
      <c r="B10" s="1">
        <v>12</v>
      </c>
      <c r="C10" s="1">
        <f t="shared" si="0"/>
        <v>17.714285714285715</v>
      </c>
      <c r="D10" s="1">
        <f t="shared" si="1"/>
        <v>33.255086321605908</v>
      </c>
      <c r="E10" s="4">
        <f t="shared" si="2"/>
        <v>2.1734851069655221</v>
      </c>
    </row>
    <row r="11" spans="1:5" ht="18.600000000000001" thickBot="1" x14ac:dyDescent="0.4">
      <c r="A11" s="3">
        <v>46028</v>
      </c>
      <c r="B11" s="1">
        <v>18</v>
      </c>
      <c r="C11" s="1">
        <f t="shared" si="0"/>
        <v>17.714285714285715</v>
      </c>
      <c r="D11" s="1">
        <f t="shared" si="1"/>
        <v>33.255086321605908</v>
      </c>
      <c r="E11" s="4">
        <f t="shared" si="2"/>
        <v>2.1734851069655221</v>
      </c>
    </row>
    <row r="12" spans="1:5" ht="18.600000000000001" thickBot="1" x14ac:dyDescent="0.4">
      <c r="A12" s="3">
        <v>46029</v>
      </c>
      <c r="B12" s="1">
        <v>17</v>
      </c>
      <c r="C12" s="1">
        <f t="shared" si="0"/>
        <v>17.714285714285715</v>
      </c>
      <c r="D12" s="1">
        <f t="shared" si="1"/>
        <v>33.255086321605908</v>
      </c>
      <c r="E12" s="4">
        <f t="shared" si="2"/>
        <v>2.1734851069655221</v>
      </c>
    </row>
    <row r="13" spans="1:5" ht="18.600000000000001" thickBot="1" x14ac:dyDescent="0.4">
      <c r="A13" s="3">
        <v>46030</v>
      </c>
      <c r="B13" s="1">
        <v>11</v>
      </c>
      <c r="C13" s="1">
        <f t="shared" si="0"/>
        <v>17.714285714285715</v>
      </c>
      <c r="D13" s="1">
        <f t="shared" si="1"/>
        <v>33.255086321605908</v>
      </c>
      <c r="E13" s="4">
        <f t="shared" si="2"/>
        <v>2.1734851069655221</v>
      </c>
    </row>
    <row r="14" spans="1:5" ht="18.600000000000001" thickBot="1" x14ac:dyDescent="0.4">
      <c r="A14" s="3">
        <v>46031</v>
      </c>
      <c r="B14" s="1">
        <v>25</v>
      </c>
      <c r="C14" s="1">
        <f t="shared" si="0"/>
        <v>17.714285714285715</v>
      </c>
      <c r="D14" s="1">
        <f t="shared" si="1"/>
        <v>33.255086321605908</v>
      </c>
      <c r="E14" s="4">
        <f t="shared" si="2"/>
        <v>2.1734851069655221</v>
      </c>
    </row>
    <row r="15" spans="1:5" ht="18.600000000000001" thickBot="1" x14ac:dyDescent="0.4">
      <c r="A15" s="3">
        <v>46032</v>
      </c>
      <c r="B15" s="1">
        <v>25</v>
      </c>
      <c r="C15" s="1">
        <f t="shared" si="0"/>
        <v>17.714285714285715</v>
      </c>
      <c r="D15" s="1">
        <f t="shared" si="1"/>
        <v>33.255086321605908</v>
      </c>
      <c r="E15" s="4">
        <f t="shared" si="2"/>
        <v>2.1734851069655221</v>
      </c>
    </row>
    <row r="16" spans="1:5" ht="18.600000000000001" thickBot="1" x14ac:dyDescent="0.4">
      <c r="A16" s="3">
        <v>46033</v>
      </c>
      <c r="B16" s="1">
        <v>10</v>
      </c>
      <c r="C16" s="1">
        <f t="shared" si="0"/>
        <v>17.714285714285715</v>
      </c>
      <c r="D16" s="1">
        <f t="shared" si="1"/>
        <v>33.255086321605908</v>
      </c>
      <c r="E16" s="4">
        <f t="shared" si="2"/>
        <v>2.1734851069655221</v>
      </c>
    </row>
    <row r="17" spans="1:5" ht="18.600000000000001" thickBot="1" x14ac:dyDescent="0.4">
      <c r="A17" s="3">
        <v>46034</v>
      </c>
      <c r="B17" s="1">
        <v>21</v>
      </c>
      <c r="C17" s="1">
        <f t="shared" si="0"/>
        <v>17.714285714285715</v>
      </c>
      <c r="D17" s="1">
        <f t="shared" si="1"/>
        <v>33.255086321605908</v>
      </c>
      <c r="E17" s="4">
        <f t="shared" si="2"/>
        <v>2.1734851069655221</v>
      </c>
    </row>
    <row r="18" spans="1:5" ht="18.600000000000001" thickBot="1" x14ac:dyDescent="0.4">
      <c r="A18" s="3">
        <v>46035</v>
      </c>
      <c r="B18" s="1">
        <v>25</v>
      </c>
      <c r="C18" s="1">
        <f t="shared" si="0"/>
        <v>17.714285714285715</v>
      </c>
      <c r="D18" s="1">
        <f t="shared" si="1"/>
        <v>33.255086321605908</v>
      </c>
      <c r="E18" s="4">
        <f t="shared" si="2"/>
        <v>2.1734851069655221</v>
      </c>
    </row>
    <row r="19" spans="1:5" x14ac:dyDescent="0.35">
      <c r="A19" s="8">
        <v>46036</v>
      </c>
      <c r="B19" s="9">
        <v>17</v>
      </c>
      <c r="C19" s="9">
        <f t="shared" si="0"/>
        <v>17.714285714285715</v>
      </c>
      <c r="D19" s="9">
        <f t="shared" si="1"/>
        <v>33.255086321605908</v>
      </c>
      <c r="E19" s="10">
        <f t="shared" si="2"/>
        <v>2.1734851069655221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992A-880D-4146-A9B8-9CAA7DB8AB6F}">
  <dimension ref="A1:E13"/>
  <sheetViews>
    <sheetView workbookViewId="0">
      <selection activeCell="A3" sqref="A3:B13"/>
    </sheetView>
  </sheetViews>
  <sheetFormatPr defaultRowHeight="18" x14ac:dyDescent="0.35"/>
  <sheetData>
    <row r="1" spans="1:5" ht="18.600000000000001" thickBot="1" x14ac:dyDescent="0.4">
      <c r="C1" s="2" t="s">
        <v>0</v>
      </c>
      <c r="D1" s="1">
        <f>AVERAGE(B4:B13)</f>
        <v>13.2</v>
      </c>
    </row>
    <row r="2" spans="1:5" ht="18.600000000000001" thickBot="1" x14ac:dyDescent="0.4">
      <c r="C2" s="2" t="s">
        <v>6</v>
      </c>
      <c r="D2" s="1">
        <f>_xlfn.STDEV.P(B4:B13)</f>
        <v>4.2848570571257101</v>
      </c>
    </row>
    <row r="3" spans="1:5" ht="18.600000000000001" thickBot="1" x14ac:dyDescent="0.4">
      <c r="A3" s="14" t="s">
        <v>7</v>
      </c>
      <c r="B3" s="15" t="s">
        <v>8</v>
      </c>
      <c r="C3" s="15" t="s">
        <v>0</v>
      </c>
      <c r="D3" s="15" t="s">
        <v>3</v>
      </c>
      <c r="E3" s="16" t="s">
        <v>4</v>
      </c>
    </row>
    <row r="4" spans="1:5" ht="18.600000000000001" thickBot="1" x14ac:dyDescent="0.4">
      <c r="A4" s="13">
        <v>1</v>
      </c>
      <c r="B4" s="1">
        <v>12</v>
      </c>
      <c r="C4" s="1">
        <f>$D$1</f>
        <v>13.2</v>
      </c>
      <c r="D4" s="1">
        <f>C4+(3*$D$2)</f>
        <v>26.05457117137713</v>
      </c>
      <c r="E4" s="4">
        <f>C4-(3*$D$2)</f>
        <v>0.34542882862286817</v>
      </c>
    </row>
    <row r="5" spans="1:5" ht="18.600000000000001" thickBot="1" x14ac:dyDescent="0.4">
      <c r="A5" s="13">
        <v>2</v>
      </c>
      <c r="B5" s="1">
        <v>10</v>
      </c>
      <c r="C5" s="1">
        <f t="shared" ref="C5:C13" si="0">$D$1</f>
        <v>13.2</v>
      </c>
      <c r="D5" s="1">
        <f t="shared" ref="D5:D13" si="1">C5+(3*$D$2)</f>
        <v>26.05457117137713</v>
      </c>
      <c r="E5" s="4">
        <f t="shared" ref="E5:E13" si="2">C5-(3*$D$2)</f>
        <v>0.34542882862286817</v>
      </c>
    </row>
    <row r="6" spans="1:5" ht="18.600000000000001" thickBot="1" x14ac:dyDescent="0.4">
      <c r="A6" s="13">
        <v>3</v>
      </c>
      <c r="B6" s="1">
        <v>14</v>
      </c>
      <c r="C6" s="1">
        <f t="shared" si="0"/>
        <v>13.2</v>
      </c>
      <c r="D6" s="1">
        <f t="shared" si="1"/>
        <v>26.05457117137713</v>
      </c>
      <c r="E6" s="4">
        <f t="shared" si="2"/>
        <v>0.34542882862286817</v>
      </c>
    </row>
    <row r="7" spans="1:5" ht="18.600000000000001" thickBot="1" x14ac:dyDescent="0.4">
      <c r="A7" s="13">
        <v>4</v>
      </c>
      <c r="B7" s="1">
        <v>11</v>
      </c>
      <c r="C7" s="1">
        <f t="shared" si="0"/>
        <v>13.2</v>
      </c>
      <c r="D7" s="1">
        <f t="shared" si="1"/>
        <v>26.05457117137713</v>
      </c>
      <c r="E7" s="4">
        <f t="shared" si="2"/>
        <v>0.34542882862286817</v>
      </c>
    </row>
    <row r="8" spans="1:5" ht="18.600000000000001" thickBot="1" x14ac:dyDescent="0.4">
      <c r="A8" s="13">
        <v>5</v>
      </c>
      <c r="B8" s="1">
        <v>13</v>
      </c>
      <c r="C8" s="1">
        <f t="shared" si="0"/>
        <v>13.2</v>
      </c>
      <c r="D8" s="1">
        <f t="shared" si="1"/>
        <v>26.05457117137713</v>
      </c>
      <c r="E8" s="4">
        <f t="shared" si="2"/>
        <v>0.34542882862286817</v>
      </c>
    </row>
    <row r="9" spans="1:5" ht="18.600000000000001" thickBot="1" x14ac:dyDescent="0.4">
      <c r="A9" s="13">
        <v>6</v>
      </c>
      <c r="B9" s="1">
        <v>9</v>
      </c>
      <c r="C9" s="1">
        <f t="shared" si="0"/>
        <v>13.2</v>
      </c>
      <c r="D9" s="1">
        <f t="shared" si="1"/>
        <v>26.05457117137713</v>
      </c>
      <c r="E9" s="4">
        <f t="shared" si="2"/>
        <v>0.34542882862286817</v>
      </c>
    </row>
    <row r="10" spans="1:5" ht="18.600000000000001" thickBot="1" x14ac:dyDescent="0.4">
      <c r="A10" s="13">
        <v>7</v>
      </c>
      <c r="B10" s="1">
        <v>25</v>
      </c>
      <c r="C10" s="1">
        <f t="shared" si="0"/>
        <v>13.2</v>
      </c>
      <c r="D10" s="1">
        <f t="shared" si="1"/>
        <v>26.05457117137713</v>
      </c>
      <c r="E10" s="4">
        <f t="shared" si="2"/>
        <v>0.34542882862286817</v>
      </c>
    </row>
    <row r="11" spans="1:5" ht="18.600000000000001" thickBot="1" x14ac:dyDescent="0.4">
      <c r="A11" s="13">
        <v>8</v>
      </c>
      <c r="B11" s="1">
        <v>12</v>
      </c>
      <c r="C11" s="1">
        <f t="shared" si="0"/>
        <v>13.2</v>
      </c>
      <c r="D11" s="1">
        <f t="shared" si="1"/>
        <v>26.05457117137713</v>
      </c>
      <c r="E11" s="4">
        <f t="shared" si="2"/>
        <v>0.34542882862286817</v>
      </c>
    </row>
    <row r="12" spans="1:5" ht="18.600000000000001" thickBot="1" x14ac:dyDescent="0.4">
      <c r="A12" s="13">
        <v>9</v>
      </c>
      <c r="B12" s="1">
        <v>15</v>
      </c>
      <c r="C12" s="1">
        <f t="shared" si="0"/>
        <v>13.2</v>
      </c>
      <c r="D12" s="1">
        <f t="shared" si="1"/>
        <v>26.05457117137713</v>
      </c>
      <c r="E12" s="4">
        <f t="shared" si="2"/>
        <v>0.34542882862286817</v>
      </c>
    </row>
    <row r="13" spans="1:5" x14ac:dyDescent="0.35">
      <c r="A13" s="11">
        <v>10</v>
      </c>
      <c r="B13" s="9">
        <v>11</v>
      </c>
      <c r="C13" s="9">
        <f t="shared" si="0"/>
        <v>13.2</v>
      </c>
      <c r="D13" s="9">
        <f t="shared" si="1"/>
        <v>26.05457117137713</v>
      </c>
      <c r="E13" s="10">
        <f t="shared" si="2"/>
        <v>0.34542882862286817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27C1-B41B-486B-88A8-124A38CC94B5}">
  <dimension ref="A1"/>
  <sheetViews>
    <sheetView workbookViewId="0">
      <selection activeCell="J11" sqref="J11"/>
    </sheetView>
  </sheetViews>
  <sheetFormatPr defaultRowHeight="18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919BC-E83F-482D-B4F2-B5A8FADC7810}">
  <dimension ref="A1:H16"/>
  <sheetViews>
    <sheetView workbookViewId="0">
      <selection activeCell="H11" sqref="H11:H16"/>
    </sheetView>
  </sheetViews>
  <sheetFormatPr defaultRowHeight="18" x14ac:dyDescent="0.35"/>
  <cols>
    <col min="1" max="1" width="3.6640625" customWidth="1"/>
    <col min="2" max="2" width="5.4140625" customWidth="1"/>
    <col min="3" max="3" width="10" customWidth="1"/>
    <col min="4" max="4" width="6.6640625" customWidth="1"/>
    <col min="6" max="6" width="10" customWidth="1"/>
    <col min="7" max="7" width="12.1640625" customWidth="1"/>
  </cols>
  <sheetData>
    <row r="1" spans="1:8" ht="18.600000000000001" thickBot="1" x14ac:dyDescent="0.4">
      <c r="A1" s="17" t="s">
        <v>9</v>
      </c>
      <c r="B1" s="17"/>
      <c r="C1" s="17"/>
      <c r="D1" s="17"/>
      <c r="E1" s="17"/>
      <c r="F1" s="17"/>
      <c r="G1" s="17"/>
      <c r="H1" s="17"/>
    </row>
    <row r="2" spans="1:8" ht="72.599999999999994" thickBot="1" x14ac:dyDescent="0.4">
      <c r="A2" s="1" t="s">
        <v>10</v>
      </c>
      <c r="B2" s="1" t="s">
        <v>11</v>
      </c>
      <c r="C2" s="1" t="s">
        <v>12</v>
      </c>
      <c r="D2" s="18" t="s">
        <v>13</v>
      </c>
      <c r="E2" s="20" t="s">
        <v>0</v>
      </c>
      <c r="F2" s="1" t="s">
        <v>3</v>
      </c>
      <c r="G2" s="1" t="s">
        <v>14</v>
      </c>
    </row>
    <row r="3" spans="1:8" ht="18.600000000000001" thickBot="1" x14ac:dyDescent="0.4">
      <c r="A3" s="1">
        <v>1</v>
      </c>
      <c r="B3" s="21">
        <v>120</v>
      </c>
      <c r="C3" s="21">
        <v>5</v>
      </c>
      <c r="D3" s="22">
        <f>C3/(B3+C3)</f>
        <v>0.04</v>
      </c>
      <c r="E3" s="22">
        <f>$B$10</f>
        <v>5.8289945123173877E-2</v>
      </c>
      <c r="F3" s="22">
        <f>D3+(3*$B$11)</f>
        <v>9.2457839532774394E-2</v>
      </c>
      <c r="G3" s="22">
        <f>D3-(3*$B$11)</f>
        <v>-1.2457839532774399E-2</v>
      </c>
    </row>
    <row r="4" spans="1:8" ht="18.600000000000001" thickBot="1" x14ac:dyDescent="0.4">
      <c r="A4" s="1">
        <v>2</v>
      </c>
      <c r="B4" s="21">
        <v>95</v>
      </c>
      <c r="C4" s="21">
        <v>8</v>
      </c>
      <c r="D4" s="22">
        <f t="shared" ref="D4:D8" si="0">C4/(B4+C4)</f>
        <v>7.7669902912621352E-2</v>
      </c>
      <c r="E4" s="22">
        <f t="shared" ref="E4:E8" si="1">$B$10</f>
        <v>5.8289945123173877E-2</v>
      </c>
      <c r="F4" s="22">
        <f t="shared" ref="F4:F8" si="2">D4+(3*$B$11)</f>
        <v>0.13012774244539577</v>
      </c>
      <c r="G4" s="22">
        <f t="shared" ref="G4:G8" si="3">D4-(3*$B$11)</f>
        <v>2.5212063379846952E-2</v>
      </c>
    </row>
    <row r="5" spans="1:8" ht="18.600000000000001" thickBot="1" x14ac:dyDescent="0.4">
      <c r="A5" s="1">
        <v>3</v>
      </c>
      <c r="B5" s="21">
        <v>110</v>
      </c>
      <c r="C5" s="21">
        <v>6</v>
      </c>
      <c r="D5" s="22">
        <f t="shared" si="0"/>
        <v>5.1724137931034482E-2</v>
      </c>
      <c r="E5" s="22">
        <f t="shared" si="1"/>
        <v>5.8289945123173877E-2</v>
      </c>
      <c r="F5" s="22">
        <f t="shared" si="2"/>
        <v>0.10418197746380889</v>
      </c>
      <c r="G5" s="22">
        <f t="shared" si="3"/>
        <v>-7.3370160173991811E-4</v>
      </c>
    </row>
    <row r="6" spans="1:8" ht="18.600000000000001" thickBot="1" x14ac:dyDescent="0.4">
      <c r="A6" s="1">
        <v>4</v>
      </c>
      <c r="B6" s="21">
        <v>130</v>
      </c>
      <c r="C6" s="21">
        <v>12</v>
      </c>
      <c r="D6" s="22">
        <f t="shared" si="0"/>
        <v>8.4507042253521125E-2</v>
      </c>
      <c r="E6" s="22">
        <f t="shared" si="1"/>
        <v>5.8289945123173877E-2</v>
      </c>
      <c r="F6" s="22">
        <f t="shared" si="2"/>
        <v>0.13696488178629551</v>
      </c>
      <c r="G6" s="22">
        <f t="shared" si="3"/>
        <v>3.2049202720746725E-2</v>
      </c>
    </row>
    <row r="7" spans="1:8" ht="18.600000000000001" thickBot="1" x14ac:dyDescent="0.4">
      <c r="A7" s="1">
        <v>5</v>
      </c>
      <c r="B7" s="21">
        <v>100</v>
      </c>
      <c r="C7" s="21">
        <v>4</v>
      </c>
      <c r="D7" s="22">
        <f t="shared" si="0"/>
        <v>3.8461538461538464E-2</v>
      </c>
      <c r="E7" s="22">
        <f t="shared" si="1"/>
        <v>5.8289945123173877E-2</v>
      </c>
      <c r="F7" s="22">
        <f t="shared" si="2"/>
        <v>9.0919377994312864E-2</v>
      </c>
      <c r="G7" s="22">
        <f t="shared" si="3"/>
        <v>-1.3996301071235936E-2</v>
      </c>
    </row>
    <row r="8" spans="1:8" ht="18.600000000000001" thickBot="1" x14ac:dyDescent="0.4">
      <c r="A8" s="1">
        <v>6</v>
      </c>
      <c r="B8" s="21">
        <v>115</v>
      </c>
      <c r="C8" s="21">
        <v>7</v>
      </c>
      <c r="D8" s="22">
        <f t="shared" si="0"/>
        <v>5.737704918032787E-2</v>
      </c>
      <c r="E8" s="22">
        <f t="shared" si="1"/>
        <v>5.8289945123173877E-2</v>
      </c>
      <c r="F8" s="22">
        <f t="shared" si="2"/>
        <v>0.10983488871310226</v>
      </c>
      <c r="G8" s="22">
        <f t="shared" si="3"/>
        <v>4.91920964755347E-3</v>
      </c>
    </row>
    <row r="9" spans="1:8" ht="18.600000000000001" thickBot="1" x14ac:dyDescent="0.4"/>
    <row r="10" spans="1:8" ht="18.600000000000001" thickBot="1" x14ac:dyDescent="0.4">
      <c r="A10" s="12" t="s">
        <v>0</v>
      </c>
      <c r="B10" s="19">
        <f>AVERAGE(D3:D8)</f>
        <v>5.8289945123173877E-2</v>
      </c>
    </row>
    <row r="11" spans="1:8" ht="18.600000000000001" thickBot="1" x14ac:dyDescent="0.4">
      <c r="A11" s="12" t="s">
        <v>6</v>
      </c>
      <c r="B11" s="19">
        <f>_xlfn.STDEV.P(D3:D8)</f>
        <v>1.7485946510924801E-2</v>
      </c>
      <c r="F11" s="19"/>
      <c r="H11" s="22"/>
    </row>
    <row r="12" spans="1:8" ht="18.600000000000001" thickBot="1" x14ac:dyDescent="0.4">
      <c r="H12" s="22"/>
    </row>
    <row r="13" spans="1:8" ht="18.600000000000001" thickBot="1" x14ac:dyDescent="0.4">
      <c r="C13" s="19"/>
      <c r="H13" s="22"/>
    </row>
    <row r="14" spans="1:8" ht="18.600000000000001" thickBot="1" x14ac:dyDescent="0.4">
      <c r="H14" s="22"/>
    </row>
    <row r="15" spans="1:8" ht="18.600000000000001" thickBot="1" x14ac:dyDescent="0.4">
      <c r="H15" s="22"/>
    </row>
    <row r="16" spans="1:8" ht="18.600000000000001" thickBot="1" x14ac:dyDescent="0.4">
      <c r="H16" s="22"/>
    </row>
  </sheetData>
  <mergeCells count="1">
    <mergeCell ref="A1:H1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00F9B-833C-46FF-992A-63AD5E857CCE}">
  <dimension ref="A1:M14"/>
  <sheetViews>
    <sheetView workbookViewId="0">
      <selection activeCell="I4" sqref="I4"/>
    </sheetView>
  </sheetViews>
  <sheetFormatPr defaultRowHeight="18" x14ac:dyDescent="0.35"/>
  <cols>
    <col min="9" max="9" width="18.6640625" customWidth="1"/>
  </cols>
  <sheetData>
    <row r="1" spans="1:13" ht="18.600000000000001" thickBot="1" x14ac:dyDescent="0.4">
      <c r="A1" s="24" t="s">
        <v>15</v>
      </c>
      <c r="B1" s="25" t="s">
        <v>16</v>
      </c>
      <c r="D1" s="1" t="s">
        <v>26</v>
      </c>
      <c r="E1" s="1" t="s">
        <v>27</v>
      </c>
      <c r="F1" s="1" t="s">
        <v>28</v>
      </c>
    </row>
    <row r="2" spans="1:13" ht="18.600000000000001" thickBot="1" x14ac:dyDescent="0.4">
      <c r="A2" s="13" t="s">
        <v>17</v>
      </c>
      <c r="B2" s="4">
        <v>15</v>
      </c>
      <c r="D2" s="1" t="s">
        <v>29</v>
      </c>
      <c r="E2" s="1">
        <v>10</v>
      </c>
      <c r="F2" s="1">
        <f t="array" ref="F2:F10">FREQUENCY(B2:B14,E2:E10)</f>
        <v>0</v>
      </c>
    </row>
    <row r="3" spans="1:13" ht="18.600000000000001" thickBot="1" x14ac:dyDescent="0.4">
      <c r="A3" s="13" t="s">
        <v>18</v>
      </c>
      <c r="B3" s="4">
        <v>20</v>
      </c>
      <c r="D3" s="23" t="s">
        <v>31</v>
      </c>
      <c r="E3" s="1">
        <v>20</v>
      </c>
      <c r="F3" s="1">
        <v>3</v>
      </c>
      <c r="I3" s="26" t="s">
        <v>42</v>
      </c>
      <c r="J3" s="26"/>
      <c r="K3" s="26"/>
      <c r="L3" s="26"/>
      <c r="M3" s="26"/>
    </row>
    <row r="4" spans="1:13" ht="30" customHeight="1" thickBot="1" x14ac:dyDescent="0.45">
      <c r="A4" s="13" t="s">
        <v>19</v>
      </c>
      <c r="B4" s="4">
        <v>45</v>
      </c>
      <c r="D4" s="1" t="s">
        <v>30</v>
      </c>
      <c r="E4" s="1">
        <v>30</v>
      </c>
      <c r="F4" s="1">
        <v>0</v>
      </c>
      <c r="I4" s="28" t="str">
        <f ca="1">_xlfn.FORMULATEXT(F2)</f>
        <v>{=FREQUENCY(B2:B14,E2:E10)}</v>
      </c>
    </row>
    <row r="5" spans="1:13" ht="18.600000000000001" thickBot="1" x14ac:dyDescent="0.4">
      <c r="A5" s="13" t="s">
        <v>20</v>
      </c>
      <c r="B5" s="4">
        <v>45</v>
      </c>
      <c r="D5" s="1" t="s">
        <v>32</v>
      </c>
      <c r="E5" s="1">
        <v>40</v>
      </c>
      <c r="F5" s="1">
        <v>0</v>
      </c>
      <c r="I5" s="27"/>
    </row>
    <row r="6" spans="1:13" ht="18.600000000000001" thickBot="1" x14ac:dyDescent="0.4">
      <c r="A6" s="13" t="s">
        <v>21</v>
      </c>
      <c r="B6" s="4">
        <v>45</v>
      </c>
      <c r="D6" s="1" t="s">
        <v>33</v>
      </c>
      <c r="E6" s="1">
        <v>50</v>
      </c>
      <c r="F6" s="1">
        <v>7</v>
      </c>
    </row>
    <row r="7" spans="1:13" ht="18.600000000000001" thickBot="1" x14ac:dyDescent="0.4">
      <c r="A7" s="13" t="s">
        <v>22</v>
      </c>
      <c r="B7" s="4">
        <v>45</v>
      </c>
      <c r="D7" s="1" t="s">
        <v>34</v>
      </c>
      <c r="E7" s="1">
        <v>60</v>
      </c>
      <c r="F7" s="1">
        <v>1</v>
      </c>
    </row>
    <row r="8" spans="1:13" ht="18.600000000000001" thickBot="1" x14ac:dyDescent="0.4">
      <c r="A8" s="13" t="s">
        <v>23</v>
      </c>
      <c r="B8" s="4">
        <v>50</v>
      </c>
      <c r="D8" s="1" t="s">
        <v>35</v>
      </c>
      <c r="E8" s="1">
        <v>70</v>
      </c>
      <c r="F8" s="1">
        <v>1</v>
      </c>
    </row>
    <row r="9" spans="1:13" ht="18.600000000000001" thickBot="1" x14ac:dyDescent="0.4">
      <c r="A9" s="13" t="s">
        <v>24</v>
      </c>
      <c r="B9" s="4">
        <v>50</v>
      </c>
      <c r="D9" s="1" t="s">
        <v>36</v>
      </c>
      <c r="E9" s="1">
        <v>80</v>
      </c>
      <c r="F9" s="1">
        <v>1</v>
      </c>
    </row>
    <row r="10" spans="1:13" ht="18.600000000000001" thickBot="1" x14ac:dyDescent="0.4">
      <c r="A10" s="11" t="s">
        <v>25</v>
      </c>
      <c r="B10" s="10">
        <v>50</v>
      </c>
      <c r="D10" s="1" t="s">
        <v>37</v>
      </c>
      <c r="E10" s="1">
        <v>100</v>
      </c>
      <c r="F10" s="1">
        <v>0</v>
      </c>
    </row>
    <row r="11" spans="1:13" ht="18.600000000000001" thickBot="1" x14ac:dyDescent="0.4">
      <c r="A11" s="11" t="s">
        <v>38</v>
      </c>
      <c r="B11" s="10">
        <v>15</v>
      </c>
    </row>
    <row r="12" spans="1:13" ht="18.600000000000001" thickBot="1" x14ac:dyDescent="0.4">
      <c r="A12" s="11" t="s">
        <v>39</v>
      </c>
      <c r="B12" s="10">
        <v>55</v>
      </c>
    </row>
    <row r="13" spans="1:13" ht="18.600000000000001" thickBot="1" x14ac:dyDescent="0.4">
      <c r="A13" s="11" t="s">
        <v>40</v>
      </c>
      <c r="B13" s="10">
        <v>75</v>
      </c>
    </row>
    <row r="14" spans="1:13" x14ac:dyDescent="0.35">
      <c r="A14" s="11" t="s">
        <v>41</v>
      </c>
      <c r="B14" s="10">
        <v>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292C-043B-48BB-83DE-1C096B1EE56D}">
  <dimension ref="A1:G11"/>
  <sheetViews>
    <sheetView tabSelected="1" workbookViewId="0">
      <selection activeCell="H18" sqref="H18"/>
    </sheetView>
  </sheetViews>
  <sheetFormatPr defaultRowHeight="18" x14ac:dyDescent="0.35"/>
  <cols>
    <col min="2" max="2" width="12.6640625" customWidth="1"/>
  </cols>
  <sheetData>
    <row r="1" spans="1:7" ht="18.600000000000001" thickBot="1" x14ac:dyDescent="0.4">
      <c r="A1" s="29" t="s">
        <v>7</v>
      </c>
      <c r="B1" s="29" t="s">
        <v>8</v>
      </c>
      <c r="E1" s="1" t="s">
        <v>26</v>
      </c>
      <c r="F1" s="1" t="s">
        <v>27</v>
      </c>
      <c r="G1" s="1" t="s">
        <v>28</v>
      </c>
    </row>
    <row r="2" spans="1:7" ht="18.600000000000001" thickBot="1" x14ac:dyDescent="0.4">
      <c r="A2" s="30">
        <v>1</v>
      </c>
      <c r="B2" s="30">
        <v>12</v>
      </c>
      <c r="E2" s="1" t="s">
        <v>43</v>
      </c>
      <c r="F2" s="1">
        <v>5</v>
      </c>
      <c r="G2" s="1">
        <f t="array" ref="G2">FREQUENCY(B2:B11,F2:F6)</f>
        <v>1</v>
      </c>
    </row>
    <row r="3" spans="1:7" ht="18.600000000000001" thickBot="1" x14ac:dyDescent="0.4">
      <c r="A3" s="31">
        <v>2</v>
      </c>
      <c r="B3" s="31">
        <v>10</v>
      </c>
      <c r="E3" s="23" t="s">
        <v>44</v>
      </c>
      <c r="F3" s="1">
        <v>10</v>
      </c>
      <c r="G3" s="1">
        <f t="array" ref="G3">FREQUENCY(B3:B12,F3:F7)</f>
        <v>3</v>
      </c>
    </row>
    <row r="4" spans="1:7" ht="18.600000000000001" thickBot="1" x14ac:dyDescent="0.4">
      <c r="A4" s="30">
        <v>3</v>
      </c>
      <c r="B4" s="30">
        <v>14</v>
      </c>
      <c r="E4" s="23" t="s">
        <v>45</v>
      </c>
      <c r="F4" s="1">
        <v>15</v>
      </c>
      <c r="G4" s="1">
        <f t="array" ref="G4">FREQUENCY(B4:B13,F4:F8)</f>
        <v>7</v>
      </c>
    </row>
    <row r="5" spans="1:7" ht="18.600000000000001" thickBot="1" x14ac:dyDescent="0.4">
      <c r="A5" s="31">
        <v>4</v>
      </c>
      <c r="B5" s="31">
        <v>11</v>
      </c>
      <c r="E5" s="1" t="s">
        <v>46</v>
      </c>
      <c r="F5" s="1">
        <v>20</v>
      </c>
      <c r="G5" s="1">
        <f t="array" ref="G5">FREQUENCY(B5:B14,F5:F9)</f>
        <v>6</v>
      </c>
    </row>
    <row r="6" spans="1:7" ht="18.600000000000001" thickBot="1" x14ac:dyDescent="0.4">
      <c r="A6" s="30">
        <v>5</v>
      </c>
      <c r="B6" s="30">
        <v>13</v>
      </c>
      <c r="E6" s="1" t="s">
        <v>47</v>
      </c>
      <c r="F6" s="1">
        <v>25</v>
      </c>
      <c r="G6" s="1">
        <f t="array" ref="G6">FREQUENCY(B6:B15,F6:F10)</f>
        <v>6</v>
      </c>
    </row>
    <row r="7" spans="1:7" ht="18.600000000000001" thickBot="1" x14ac:dyDescent="0.4">
      <c r="A7" s="31">
        <v>6</v>
      </c>
      <c r="B7" s="31">
        <v>9</v>
      </c>
      <c r="E7" s="32"/>
      <c r="F7" s="32"/>
      <c r="G7" s="32"/>
    </row>
    <row r="8" spans="1:7" ht="18.600000000000001" thickBot="1" x14ac:dyDescent="0.4">
      <c r="A8" s="30">
        <v>7</v>
      </c>
      <c r="B8" s="30">
        <v>25</v>
      </c>
      <c r="E8" s="32"/>
      <c r="F8" s="32"/>
      <c r="G8" s="32"/>
    </row>
    <row r="9" spans="1:7" ht="18.600000000000001" thickBot="1" x14ac:dyDescent="0.4">
      <c r="A9" s="31">
        <v>8</v>
      </c>
      <c r="B9" s="31">
        <v>12</v>
      </c>
      <c r="E9" s="32"/>
      <c r="F9" s="32"/>
      <c r="G9" s="32"/>
    </row>
    <row r="10" spans="1:7" ht="18.600000000000001" thickBot="1" x14ac:dyDescent="0.4">
      <c r="A10" s="30">
        <v>9</v>
      </c>
      <c r="B10" s="30">
        <v>15</v>
      </c>
      <c r="E10" s="32"/>
      <c r="F10" s="32"/>
      <c r="G10" s="32"/>
    </row>
    <row r="11" spans="1:7" ht="18.600000000000001" thickBot="1" x14ac:dyDescent="0.4">
      <c r="A11" s="31">
        <v>10</v>
      </c>
      <c r="B11" s="31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controll chart</vt:lpstr>
      <vt:lpstr>defect_count_stability _check</vt:lpstr>
      <vt:lpstr>Sheet5</vt:lpstr>
      <vt:lpstr>defect_leakage</vt:lpstr>
      <vt:lpstr>histogram</vt:lpstr>
      <vt:lpstr>Histo_1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</dc:creator>
  <cp:lastModifiedBy>Sathish Kumar</cp:lastModifiedBy>
  <dcterms:created xsi:type="dcterms:W3CDTF">2026-03-13T06:44:19Z</dcterms:created>
  <dcterms:modified xsi:type="dcterms:W3CDTF">2026-03-15T08:20:18Z</dcterms:modified>
</cp:coreProperties>
</file>