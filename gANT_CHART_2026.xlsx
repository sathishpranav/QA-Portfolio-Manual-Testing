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thish_2025\Excel\"/>
    </mc:Choice>
  </mc:AlternateContent>
  <xr:revisionPtr revIDLastSave="0" documentId="13_ncr:1_{698EAE57-870A-4533-88B5-C1EA996972A7}" xr6:coauthVersionLast="47" xr6:coauthVersionMax="47" xr10:uidLastSave="{00000000-0000-0000-0000-000000000000}"/>
  <bookViews>
    <workbookView xWindow="-132" yWindow="-132" windowWidth="23304" windowHeight="12504" xr2:uid="{93318528-B88F-4489-9195-F8F1E898ACD7}"/>
  </bookViews>
  <sheets>
    <sheet name="Gant_chart" sheetId="1" r:id="rId1"/>
    <sheet name="pareto" sheetId="3" r:id="rId2"/>
    <sheet name="Sheet2" sheetId="2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D4" i="2"/>
  <c r="D5" i="2"/>
  <c r="D6" i="2"/>
  <c r="D3" i="2"/>
  <c r="D2" i="2"/>
  <c r="C3" i="2"/>
  <c r="C4" i="2"/>
  <c r="C5" i="2"/>
  <c r="C6" i="2"/>
  <c r="C2" i="2"/>
  <c r="B7" i="2"/>
  <c r="D2" i="3"/>
  <c r="E2" i="3" s="1"/>
  <c r="D3" i="3"/>
  <c r="D4" i="3"/>
  <c r="E7" i="3" s="1"/>
  <c r="D5" i="3"/>
  <c r="D6" i="3"/>
  <c r="D7" i="3"/>
  <c r="D7" i="4"/>
  <c r="D8" i="4"/>
  <c r="D9" i="4"/>
  <c r="D10" i="4"/>
  <c r="D11" i="4"/>
  <c r="D3" i="4"/>
  <c r="D4" i="4"/>
  <c r="D5" i="4"/>
  <c r="D6" i="4"/>
  <c r="C10" i="4"/>
  <c r="C11" i="4"/>
  <c r="C7" i="4"/>
  <c r="D2" i="4"/>
  <c r="C6" i="4"/>
  <c r="C5" i="4"/>
  <c r="C4" i="4"/>
  <c r="C3" i="4"/>
  <c r="C2" i="4"/>
  <c r="D7" i="1"/>
  <c r="L7" i="1" s="1"/>
  <c r="D8" i="1"/>
  <c r="K8" i="1" s="1"/>
  <c r="D9" i="1"/>
  <c r="L9" i="1" s="1"/>
  <c r="D10" i="1"/>
  <c r="M10" i="1" s="1"/>
  <c r="D6" i="1"/>
  <c r="L6" i="1" s="1"/>
  <c r="G8" i="1"/>
  <c r="H8" i="1"/>
  <c r="J8" i="1"/>
  <c r="L8" i="1"/>
  <c r="M8" i="1"/>
  <c r="N8" i="1"/>
  <c r="O8" i="1"/>
  <c r="P8" i="1"/>
  <c r="Q8" i="1"/>
  <c r="T8" i="1"/>
  <c r="U8" i="1"/>
  <c r="V8" i="1"/>
  <c r="W8" i="1"/>
  <c r="X8" i="1"/>
  <c r="Y8" i="1"/>
  <c r="Z8" i="1"/>
  <c r="AC8" i="1"/>
  <c r="AD8" i="1"/>
  <c r="AE8" i="1"/>
  <c r="AF8" i="1"/>
  <c r="AG8" i="1"/>
  <c r="AH8" i="1"/>
  <c r="AJ8" i="1"/>
  <c r="G9" i="1"/>
  <c r="H9" i="1"/>
  <c r="I9" i="1"/>
  <c r="O9" i="1"/>
  <c r="P9" i="1"/>
  <c r="Q9" i="1"/>
  <c r="R9" i="1"/>
  <c r="S9" i="1"/>
  <c r="Y9" i="1"/>
  <c r="Z9" i="1"/>
  <c r="AA9" i="1"/>
  <c r="AD9" i="1"/>
  <c r="AE9" i="1"/>
  <c r="AI9" i="1"/>
  <c r="H10" i="1"/>
  <c r="I10" i="1"/>
  <c r="L10" i="1"/>
  <c r="R10" i="1"/>
  <c r="S10" i="1"/>
  <c r="T10" i="1"/>
  <c r="X10" i="1"/>
  <c r="Y10" i="1"/>
  <c r="Z10" i="1"/>
  <c r="AA10" i="1"/>
  <c r="AB10" i="1"/>
  <c r="AF10" i="1"/>
  <c r="AG10" i="1"/>
  <c r="AH10" i="1"/>
  <c r="AI10" i="1"/>
  <c r="AJ10" i="1"/>
  <c r="H6" i="1"/>
  <c r="I6" i="1"/>
  <c r="O6" i="1"/>
  <c r="E5" i="3" l="1"/>
  <c r="E4" i="3"/>
  <c r="E6" i="3"/>
  <c r="E3" i="3"/>
  <c r="AI7" i="1"/>
  <c r="AH9" i="1"/>
  <c r="X9" i="1"/>
  <c r="N9" i="1"/>
  <c r="K9" i="1"/>
  <c r="AG9" i="1"/>
  <c r="W9" i="1"/>
  <c r="AF9" i="1"/>
  <c r="V9" i="1"/>
  <c r="J9" i="1"/>
  <c r="K10" i="1"/>
  <c r="J10" i="1"/>
  <c r="Q10" i="1"/>
  <c r="P10" i="1"/>
  <c r="AK8" i="1"/>
  <c r="AB8" i="1"/>
  <c r="R8" i="1"/>
  <c r="I8" i="1"/>
  <c r="AA7" i="1"/>
  <c r="S7" i="1"/>
  <c r="K7" i="1"/>
  <c r="AH7" i="1"/>
  <c r="Z7" i="1"/>
  <c r="R7" i="1"/>
  <c r="J7" i="1"/>
  <c r="AG7" i="1"/>
  <c r="Q7" i="1"/>
  <c r="X7" i="1"/>
  <c r="H7" i="1"/>
  <c r="AE7" i="1"/>
  <c r="W7" i="1"/>
  <c r="O7" i="1"/>
  <c r="V7" i="1"/>
  <c r="N7" i="1"/>
  <c r="AK7" i="1"/>
  <c r="AC7" i="1"/>
  <c r="U7" i="1"/>
  <c r="M7" i="1"/>
  <c r="Y7" i="1"/>
  <c r="I7" i="1"/>
  <c r="AF7" i="1"/>
  <c r="P7" i="1"/>
  <c r="G7" i="1"/>
  <c r="AD7" i="1"/>
  <c r="AJ7" i="1"/>
  <c r="AB7" i="1"/>
  <c r="T7" i="1"/>
  <c r="AE10" i="1"/>
  <c r="W10" i="1"/>
  <c r="O10" i="1"/>
  <c r="G10" i="1"/>
  <c r="AD10" i="1"/>
  <c r="V10" i="1"/>
  <c r="N10" i="1"/>
  <c r="AK9" i="1"/>
  <c r="AC9" i="1"/>
  <c r="U9" i="1"/>
  <c r="M9" i="1"/>
  <c r="AK10" i="1"/>
  <c r="AC10" i="1"/>
  <c r="U10" i="1"/>
  <c r="AJ9" i="1"/>
  <c r="AB9" i="1"/>
  <c r="T9" i="1"/>
  <c r="AI8" i="1"/>
  <c r="AA8" i="1"/>
  <c r="S8" i="1"/>
  <c r="AG6" i="1"/>
  <c r="Y6" i="1"/>
  <c r="Q6" i="1"/>
  <c r="AF6" i="1"/>
  <c r="X6" i="1"/>
  <c r="P6" i="1"/>
  <c r="AE6" i="1"/>
  <c r="W6" i="1"/>
  <c r="G6" i="1"/>
  <c r="AD6" i="1"/>
  <c r="V6" i="1"/>
  <c r="AK6" i="1"/>
  <c r="AC6" i="1"/>
  <c r="U6" i="1"/>
  <c r="AJ6" i="1"/>
  <c r="AB6" i="1"/>
  <c r="T6" i="1"/>
  <c r="AI6" i="1"/>
  <c r="AA6" i="1"/>
  <c r="S6" i="1"/>
  <c r="K6" i="1"/>
  <c r="AH6" i="1"/>
  <c r="Z6" i="1"/>
  <c r="R6" i="1"/>
  <c r="J6" i="1"/>
  <c r="N6" i="1"/>
  <c r="M6" i="1"/>
</calcChain>
</file>

<file path=xl/sharedStrings.xml><?xml version="1.0" encoding="utf-8"?>
<sst xmlns="http://schemas.openxmlformats.org/spreadsheetml/2006/main" count="69" uniqueCount="38">
  <si>
    <t>Activity</t>
  </si>
  <si>
    <t>Start Date</t>
  </si>
  <si>
    <t>End Date</t>
  </si>
  <si>
    <t>Duration</t>
  </si>
  <si>
    <t>Status</t>
  </si>
  <si>
    <t>Login Page</t>
  </si>
  <si>
    <t>PLP</t>
  </si>
  <si>
    <t>PDP</t>
  </si>
  <si>
    <t>Cart</t>
  </si>
  <si>
    <t>Payment Page</t>
  </si>
  <si>
    <t>Completed</t>
  </si>
  <si>
    <t>Pending</t>
  </si>
  <si>
    <t>Defered</t>
  </si>
  <si>
    <t>Height</t>
  </si>
  <si>
    <t>Defect Type</t>
  </si>
  <si>
    <t>Count</t>
  </si>
  <si>
    <t>Payment gateway error</t>
  </si>
  <si>
    <t>UX issue</t>
  </si>
  <si>
    <t>Data Validation</t>
  </si>
  <si>
    <t>Performance issue</t>
  </si>
  <si>
    <t>% of Total</t>
  </si>
  <si>
    <t>Cummulative percentage</t>
  </si>
  <si>
    <t>Total Percentage</t>
  </si>
  <si>
    <t>cummulative total</t>
  </si>
  <si>
    <t>ds</t>
  </si>
  <si>
    <t>er</t>
  </si>
  <si>
    <t>rrtr</t>
  </si>
  <si>
    <t>rtrt</t>
  </si>
  <si>
    <t>t</t>
  </si>
  <si>
    <t>tyt</t>
  </si>
  <si>
    <t>cart page</t>
  </si>
  <si>
    <t>region</t>
  </si>
  <si>
    <t>North</t>
  </si>
  <si>
    <t>south</t>
  </si>
  <si>
    <t>East</t>
  </si>
  <si>
    <t>South</t>
  </si>
  <si>
    <t>cum %</t>
  </si>
  <si>
    <t>bug_Count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</si>
</sst>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;;;"/>
    <numFmt numFmtId="166" formatCode="d/mmm"/>
  </numFmts>
  <fonts count="4" x14ac:knownFonts="1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gradientFill degree="90">
        <stop position="0">
          <color theme="3" tint="0.80001220740379042"/>
        </stop>
        <stop position="1">
          <color theme="4"/>
        </stop>
      </gradient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/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medium">
        <color rgb="FF92D050"/>
      </right>
      <top style="thin">
        <color rgb="FF92D050"/>
      </top>
      <bottom style="thin">
        <color rgb="FF92D050"/>
      </bottom>
      <diagonal/>
    </border>
    <border>
      <left style="thick">
        <color rgb="FF002060"/>
      </left>
      <right style="thin">
        <color rgb="FF92D050"/>
      </right>
      <top style="thick">
        <color rgb="FF002060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thick">
        <color rgb="FF002060"/>
      </top>
      <bottom style="thin">
        <color rgb="FF92D050"/>
      </bottom>
      <diagonal/>
    </border>
    <border>
      <left style="thin">
        <color rgb="FF92D050"/>
      </left>
      <right style="medium">
        <color rgb="FF92D050"/>
      </right>
      <top style="thick">
        <color rgb="FF002060"/>
      </top>
      <bottom style="thin">
        <color rgb="FF92D050"/>
      </bottom>
      <diagonal/>
    </border>
    <border>
      <left/>
      <right/>
      <top style="thick">
        <color rgb="FF002060"/>
      </top>
      <bottom/>
      <diagonal/>
    </border>
    <border>
      <left/>
      <right style="thick">
        <color rgb="FF002060"/>
      </right>
      <top style="thick">
        <color rgb="FF002060"/>
      </top>
      <bottom/>
      <diagonal/>
    </border>
    <border>
      <left style="thick">
        <color rgb="FF00206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/>
      <right style="thick">
        <color rgb="FF002060"/>
      </right>
      <top/>
      <bottom/>
      <diagonal/>
    </border>
    <border>
      <left style="thick">
        <color rgb="FF002060"/>
      </left>
      <right style="thin">
        <color rgb="FF92D050"/>
      </right>
      <top style="thin">
        <color rgb="FF92D050"/>
      </top>
      <bottom style="thick">
        <color rgb="FF00206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ck">
        <color rgb="FF002060"/>
      </bottom>
      <diagonal/>
    </border>
    <border>
      <left style="thin">
        <color rgb="FF92D050"/>
      </left>
      <right style="medium">
        <color rgb="FF92D050"/>
      </right>
      <top style="thin">
        <color rgb="FF92D050"/>
      </top>
      <bottom style="thick">
        <color rgb="FF002060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/>
      <right style="thin">
        <color rgb="FF92D050"/>
      </right>
      <top style="thin">
        <color rgb="FF92D050"/>
      </top>
      <bottom style="thin">
        <color rgb="FF92D050"/>
      </bottom>
      <diagonal/>
    </border>
    <border>
      <left/>
      <right style="thin">
        <color rgb="FF92D050"/>
      </right>
      <top/>
      <bottom style="thin">
        <color rgb="FF92D050"/>
      </bottom>
      <diagonal/>
    </border>
    <border>
      <left style="thin">
        <color rgb="FF92D050"/>
      </left>
      <right style="thin">
        <color rgb="FF92D050"/>
      </right>
      <top/>
      <bottom style="thin">
        <color rgb="FF92D050"/>
      </bottom>
      <diagonal/>
    </border>
    <border>
      <left style="thin">
        <color rgb="FF92D050"/>
      </left>
      <right/>
      <top/>
      <bottom style="thin">
        <color rgb="FF92D050"/>
      </bottom>
      <diagonal/>
    </border>
    <border>
      <left/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/>
      <top style="thin">
        <color rgb="FF92D050"/>
      </top>
      <bottom/>
      <diagonal/>
    </border>
    <border>
      <left style="thin">
        <color rgb="FF92D050"/>
      </left>
      <right style="thin">
        <color rgb="FF92D050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vertical="center" textRotation="90"/>
    </xf>
    <xf numFmtId="165" fontId="0" fillId="0" borderId="0" xfId="0" applyNumberFormat="1" applyAlignment="1">
      <alignment vertical="center"/>
    </xf>
    <xf numFmtId="0" fontId="0" fillId="0" borderId="1" xfId="0" applyBorder="1"/>
    <xf numFmtId="0" fontId="0" fillId="0" borderId="2" xfId="0" applyBorder="1"/>
    <xf numFmtId="166" fontId="0" fillId="0" borderId="0" xfId="0" applyNumberFormat="1" applyAlignment="1">
      <alignment horizontal="center" vertical="center"/>
    </xf>
    <xf numFmtId="0" fontId="2" fillId="2" borderId="4" xfId="0" applyFont="1" applyFill="1" applyBorder="1" applyAlignment="1" applyProtection="1">
      <alignment vertical="center"/>
      <protection locked="0"/>
    </xf>
    <xf numFmtId="0" fontId="2" fillId="2" borderId="5" xfId="0" applyFont="1" applyFill="1" applyBorder="1" applyAlignment="1" applyProtection="1">
      <alignment vertical="center"/>
      <protection locked="0"/>
    </xf>
    <xf numFmtId="0" fontId="2" fillId="2" borderId="6" xfId="0" applyFont="1" applyFill="1" applyBorder="1" applyAlignment="1" applyProtection="1">
      <alignment vertical="center"/>
      <protection locked="0"/>
    </xf>
    <xf numFmtId="16" fontId="2" fillId="2" borderId="7" xfId="0" applyNumberFormat="1" applyFont="1" applyFill="1" applyBorder="1" applyAlignment="1" applyProtection="1">
      <alignment vertical="center" textRotation="90"/>
      <protection locked="0"/>
    </xf>
    <xf numFmtId="16" fontId="2" fillId="2" borderId="8" xfId="0" applyNumberFormat="1" applyFont="1" applyFill="1" applyBorder="1" applyAlignment="1" applyProtection="1">
      <alignment vertical="center" textRotation="90"/>
      <protection locked="0"/>
    </xf>
    <xf numFmtId="0" fontId="0" fillId="3" borderId="9" xfId="0" applyFill="1" applyBorder="1" applyAlignment="1" applyProtection="1">
      <alignment vertical="center"/>
      <protection locked="0"/>
    </xf>
    <xf numFmtId="16" fontId="0" fillId="3" borderId="1" xfId="0" applyNumberFormat="1" applyFill="1" applyBorder="1" applyAlignment="1" applyProtection="1">
      <alignment vertical="center"/>
      <protection locked="0"/>
    </xf>
    <xf numFmtId="0" fontId="0" fillId="3" borderId="1" xfId="0" applyFill="1" applyBorder="1" applyAlignment="1" applyProtection="1">
      <alignment vertical="center"/>
      <protection locked="0"/>
    </xf>
    <xf numFmtId="0" fontId="0" fillId="0" borderId="3" xfId="0" applyBorder="1" applyAlignment="1" applyProtection="1">
      <alignment vertical="center"/>
      <protection locked="0"/>
    </xf>
    <xf numFmtId="0" fontId="0" fillId="3" borderId="11" xfId="0" applyFill="1" applyBorder="1" applyAlignment="1" applyProtection="1">
      <alignment vertical="center"/>
      <protection locked="0"/>
    </xf>
    <xf numFmtId="16" fontId="0" fillId="3" borderId="12" xfId="0" applyNumberFormat="1" applyFill="1" applyBorder="1" applyAlignment="1" applyProtection="1">
      <alignment vertical="center"/>
      <protection locked="0"/>
    </xf>
    <xf numFmtId="0" fontId="0" fillId="3" borderId="12" xfId="0" applyFill="1" applyBorder="1" applyAlignment="1" applyProtection="1">
      <alignment vertical="center"/>
      <protection locked="0"/>
    </xf>
    <xf numFmtId="0" fontId="0" fillId="0" borderId="13" xfId="0" applyBorder="1" applyAlignment="1" applyProtection="1">
      <alignment vertical="center"/>
      <protection locked="0"/>
    </xf>
    <xf numFmtId="165" fontId="0" fillId="0" borderId="0" xfId="0" applyNumberFormat="1" applyBorder="1" applyAlignment="1" applyProtection="1">
      <alignment vertical="center"/>
      <protection hidden="1"/>
    </xf>
    <xf numFmtId="165" fontId="0" fillId="0" borderId="10" xfId="0" applyNumberFormat="1" applyBorder="1" applyAlignment="1" applyProtection="1">
      <alignment vertical="center"/>
      <protection hidden="1"/>
    </xf>
    <xf numFmtId="165" fontId="0" fillId="0" borderId="14" xfId="0" applyNumberFormat="1" applyBorder="1" applyAlignment="1" applyProtection="1">
      <alignment vertical="center"/>
      <protection hidden="1"/>
    </xf>
    <xf numFmtId="165" fontId="0" fillId="0" borderId="15" xfId="0" applyNumberFormat="1" applyBorder="1" applyAlignment="1" applyProtection="1">
      <alignment vertical="center"/>
      <protection hidden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Fill="1" applyBorder="1"/>
    <xf numFmtId="0" fontId="0" fillId="0" borderId="21" xfId="0" applyNumberFormat="1" applyBorder="1"/>
    <xf numFmtId="0" fontId="0" fillId="0" borderId="22" xfId="0" applyNumberFormat="1" applyBorder="1"/>
    <xf numFmtId="9" fontId="0" fillId="0" borderId="0" xfId="1" applyFont="1"/>
    <xf numFmtId="9" fontId="0" fillId="0" borderId="0" xfId="0" applyNumberFormat="1"/>
    <xf numFmtId="0" fontId="0" fillId="0" borderId="16" xfId="0" applyFill="1" applyBorder="1"/>
    <xf numFmtId="0" fontId="3" fillId="0" borderId="24" xfId="0" applyFont="1" applyFill="1" applyBorder="1"/>
    <xf numFmtId="9" fontId="3" fillId="0" borderId="24" xfId="1" applyFont="1" applyFill="1" applyBorder="1"/>
    <xf numFmtId="9" fontId="3" fillId="0" borderId="24" xfId="0" applyNumberFormat="1" applyFont="1" applyFill="1" applyBorder="1"/>
    <xf numFmtId="0" fontId="3" fillId="4" borderId="24" xfId="0" applyFont="1" applyFill="1" applyBorder="1"/>
  </cellXfs>
  <cellStyles count="2">
    <cellStyle name="Normal" xfId="0" builtinId="0"/>
    <cellStyle name="Percent" xfId="1" builtinId="5"/>
  </cellStyles>
  <dxfs count="16">
    <dxf>
      <numFmt numFmtId="0" formatCode="General"/>
      <border diagonalUp="0" diagonalDown="0">
        <left style="thin">
          <color rgb="FF92D050"/>
        </left>
        <right/>
        <top style="thin">
          <color rgb="FF92D050"/>
        </top>
        <bottom style="thin">
          <color rgb="FF92D050"/>
        </bottom>
        <vertical/>
        <horizontal/>
      </border>
    </dxf>
    <dxf>
      <numFmt numFmtId="0" formatCode="General"/>
      <border diagonalUp="0" diagonalDown="0">
        <left style="thin">
          <color rgb="FF92D050"/>
        </left>
        <right style="thin">
          <color rgb="FF92D050"/>
        </right>
        <top style="thin">
          <color rgb="FF92D050"/>
        </top>
        <bottom style="thin">
          <color rgb="FF92D050"/>
        </bottom>
        <vertical/>
        <horizontal/>
      </border>
    </dxf>
    <dxf>
      <border diagonalUp="0" diagonalDown="0">
        <left style="thin">
          <color rgb="FF92D050"/>
        </left>
        <right style="thin">
          <color rgb="FF92D050"/>
        </right>
        <top style="thin">
          <color rgb="FF92D050"/>
        </top>
        <bottom/>
        <vertical/>
        <horizontal/>
      </border>
    </dxf>
    <dxf>
      <border>
        <left style="thin">
          <color auto="1"/>
        </left>
        <right style="dashDotDot">
          <color auto="1"/>
        </right>
      </border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gradientFill degree="90">
          <stop position="0">
            <color theme="9" tint="0.59999389629810485"/>
          </stop>
          <stop position="1">
            <color rgb="FF00B050"/>
          </stop>
        </gradientFill>
      </fill>
    </dxf>
    <dxf>
      <fill>
        <gradientFill degree="90">
          <stop position="0">
            <color theme="7" tint="0.80001220740379042"/>
          </stop>
          <stop position="1">
            <color rgb="FFFFC000"/>
          </stop>
        </gradientFill>
      </fill>
    </dxf>
    <dxf>
      <fill>
        <gradientFill degree="90">
          <stop position="0">
            <color theme="8" tint="0.59999389629810485"/>
          </stop>
          <stop position="1">
            <color theme="4"/>
          </stop>
        </gradientFill>
      </fill>
    </dxf>
    <dxf>
      <border diagonalUp="0" diagonalDown="0" outline="0">
        <left style="thin">
          <color rgb="FF92D050"/>
        </left>
        <right style="thin">
          <color rgb="FF92D050"/>
        </right>
        <top/>
        <bottom/>
      </border>
    </dxf>
    <dxf>
      <border diagonalUp="0" diagonalDown="0">
        <left style="thin">
          <color rgb="FF92D050"/>
        </left>
        <right style="thin">
          <color rgb="FF92D050"/>
        </right>
        <top style="thin">
          <color rgb="FF92D050"/>
        </top>
        <bottom style="thin">
          <color rgb="FF92D050"/>
        </bottom>
        <vertical/>
        <horizontal/>
      </border>
    </dxf>
    <dxf>
      <border diagonalUp="0" diagonalDown="0">
        <left/>
        <right style="thin">
          <color rgb="FF92D050"/>
        </right>
        <top style="thin">
          <color rgb="FF92D050"/>
        </top>
        <bottom style="thin">
          <color rgb="FF92D050"/>
        </bottom>
        <vertical/>
        <horizontal/>
      </border>
    </dxf>
    <dxf>
      <border outline="0">
        <top style="thin">
          <color rgb="FF92D050"/>
        </top>
      </border>
    </dxf>
    <dxf>
      <border outline="0">
        <bottom style="thin">
          <color rgb="FF92D050"/>
        </bottom>
      </border>
    </dxf>
    <dxf>
      <border outline="0">
        <left style="thin">
          <color rgb="FF92D050"/>
        </left>
        <right style="thin">
          <color rgb="FF92D050"/>
        </right>
        <top style="thin">
          <color rgb="FF92D050"/>
        </top>
        <bottom style="thin">
          <color rgb="FF92D05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42784169485218E-2"/>
          <c:y val="5.4199992752385233E-2"/>
          <c:w val="0.95815721583051483"/>
          <c:h val="0.88597664197300796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Sheet2!$D$1</c:f>
              <c:strCache>
                <c:ptCount val="1"/>
                <c:pt idx="0">
                  <c:v>cummulative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Sheet2!$A$2:$A$6</c:f>
              <c:strCache>
                <c:ptCount val="5"/>
                <c:pt idx="0">
                  <c:v>Payment gateway error</c:v>
                </c:pt>
                <c:pt idx="1">
                  <c:v>Data Validation</c:v>
                </c:pt>
                <c:pt idx="2">
                  <c:v>Login Page</c:v>
                </c:pt>
                <c:pt idx="3">
                  <c:v>UX issue</c:v>
                </c:pt>
                <c:pt idx="4">
                  <c:v>Performance issue</c:v>
                </c:pt>
              </c:strCache>
            </c:strRef>
          </c:cat>
          <c:val>
            <c:numRef>
              <c:f>Sheet2!$D$2:$D$6</c:f>
              <c:numCache>
                <c:formatCode>0%</c:formatCode>
                <c:ptCount val="5"/>
                <c:pt idx="0">
                  <c:v>0.33333333333333331</c:v>
                </c:pt>
                <c:pt idx="1">
                  <c:v>0.58333333333333326</c:v>
                </c:pt>
                <c:pt idx="2">
                  <c:v>0.79166666666666663</c:v>
                </c:pt>
                <c:pt idx="3">
                  <c:v>0.91666666666666663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D0-41C3-B950-8EA3BF875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493199"/>
        <c:axId val="521492719"/>
      </c:barChart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bug_Count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Sheet2!$A$2:$A$6</c:f>
              <c:strCache>
                <c:ptCount val="5"/>
                <c:pt idx="0">
                  <c:v>Payment gateway error</c:v>
                </c:pt>
                <c:pt idx="1">
                  <c:v>Data Validation</c:v>
                </c:pt>
                <c:pt idx="2">
                  <c:v>Login Page</c:v>
                </c:pt>
                <c:pt idx="3">
                  <c:v>UX issue</c:v>
                </c:pt>
                <c:pt idx="4">
                  <c:v>Performance issue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5"/>
                <c:pt idx="0">
                  <c:v>40</c:v>
                </c:pt>
                <c:pt idx="1">
                  <c:v>30</c:v>
                </c:pt>
                <c:pt idx="2">
                  <c:v>25</c:v>
                </c:pt>
                <c:pt idx="3">
                  <c:v>15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D0-41C3-B950-8EA3BF875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671583"/>
        <c:axId val="95668223"/>
      </c:lineChart>
      <c:catAx>
        <c:axId val="521493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92719"/>
        <c:crosses val="autoZero"/>
        <c:auto val="1"/>
        <c:lblAlgn val="ctr"/>
        <c:lblOffset val="100"/>
        <c:noMultiLvlLbl val="0"/>
      </c:catAx>
      <c:valAx>
        <c:axId val="52149271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93199"/>
        <c:crosses val="autoZero"/>
        <c:crossBetween val="between"/>
      </c:valAx>
      <c:valAx>
        <c:axId val="9566822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71583"/>
        <c:crosses val="max"/>
        <c:crossBetween val="between"/>
      </c:valAx>
      <c:catAx>
        <c:axId val="956715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66822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746760</xdr:colOff>
      <xdr:row>0</xdr:row>
      <xdr:rowOff>0</xdr:rowOff>
    </xdr:from>
    <xdr:to>
      <xdr:col>15</xdr:col>
      <xdr:colOff>533400</xdr:colOff>
      <xdr:row>16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838B4C-2955-16AD-7054-FEFB9FDA6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565F39-70BA-4C3F-97F4-79FC083E66C1}" name="Table1" displayName="Table1" ref="A1:E7" totalsRowShown="0" headerRowDxfId="10" headerRowBorderDxfId="14" tableBorderDxfId="15" totalsRowBorderDxfId="13">
  <autoFilter ref="A1:E7" xr:uid="{B2565F39-70BA-4C3F-97F4-79FC083E66C1}">
    <filterColumn colId="2">
      <filters>
        <filter val="south"/>
      </filters>
    </filterColumn>
  </autoFilter>
  <sortState xmlns:xlrd2="http://schemas.microsoft.com/office/spreadsheetml/2017/richdata2" ref="A2:E6">
    <sortCondition descending="1" ref="B1:B6"/>
  </sortState>
  <tableColumns count="5">
    <tableColumn id="1" xr3:uid="{ADB8946C-00FF-4C15-86F9-164F130AE69D}" name="Defect Type" dataDxfId="12"/>
    <tableColumn id="2" xr3:uid="{47BDB0C0-31AA-42D7-B2CF-6E334E56D69E}" name="Count" dataDxfId="11"/>
    <tableColumn id="5" xr3:uid="{07BD27F0-CAC2-49E8-BEDA-7688676B47A1}" name="region" dataDxfId="2"/>
    <tableColumn id="3" xr3:uid="{82F7DB4F-9179-4578-8DA2-0AF92CB1EF22}" name="% of Total" dataDxfId="1">
      <calculatedColumnFormula>Table1[[#This Row],[Count]]/SUM(Table1[Count])*100</calculatedColumnFormula>
    </tableColumn>
    <tableColumn id="4" xr3:uid="{FC92B322-BBA7-48F0-89F6-948B39CC91A2}" name="Cummulative percentage" dataDxfId="0">
      <calculatedColumnFormula>SUMIF(Table1[[#Headers],[region]]:Table1[[#This Row],[region]],$K$1,Table1[[#Headers],[% of Total]]:Table1[[#This Row],[% of Total]])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309B-F8C4-42FF-99F2-4C3D73E08851}">
  <dimension ref="A2:AK11"/>
  <sheetViews>
    <sheetView showGridLines="0" tabSelected="1" workbookViewId="0">
      <selection activeCell="Z10" sqref="Z10"/>
    </sheetView>
  </sheetViews>
  <sheetFormatPr defaultRowHeight="18" x14ac:dyDescent="0.35"/>
  <cols>
    <col min="3" max="3" width="20.25" customWidth="1"/>
    <col min="6" max="6" width="10.1640625" customWidth="1"/>
    <col min="7" max="37" width="3.1640625" bestFit="1" customWidth="1"/>
  </cols>
  <sheetData>
    <row r="2" spans="1:37" x14ac:dyDescent="0.35">
      <c r="E2" s="1" t="s">
        <v>13</v>
      </c>
      <c r="F2" s="6">
        <v>46100</v>
      </c>
    </row>
    <row r="4" spans="1:37" ht="18.600000000000001" thickBot="1" x14ac:dyDescent="0.4"/>
    <row r="5" spans="1:37" ht="48" thickTop="1" x14ac:dyDescent="0.35">
      <c r="A5" s="5"/>
      <c r="B5" s="7" t="s">
        <v>0</v>
      </c>
      <c r="C5" s="8" t="s">
        <v>1</v>
      </c>
      <c r="D5" s="8" t="s">
        <v>2</v>
      </c>
      <c r="E5" s="8" t="s">
        <v>3</v>
      </c>
      <c r="F5" s="9" t="s">
        <v>4</v>
      </c>
      <c r="G5" s="10">
        <v>46082</v>
      </c>
      <c r="H5" s="10">
        <v>46083</v>
      </c>
      <c r="I5" s="10">
        <v>46084</v>
      </c>
      <c r="J5" s="10">
        <v>46085</v>
      </c>
      <c r="K5" s="10">
        <v>46086</v>
      </c>
      <c r="L5" s="10">
        <v>46087</v>
      </c>
      <c r="M5" s="10">
        <v>46088</v>
      </c>
      <c r="N5" s="10">
        <v>46089</v>
      </c>
      <c r="O5" s="10">
        <v>46090</v>
      </c>
      <c r="P5" s="10">
        <v>46091</v>
      </c>
      <c r="Q5" s="10">
        <v>46092</v>
      </c>
      <c r="R5" s="10">
        <v>46093</v>
      </c>
      <c r="S5" s="10">
        <v>46094</v>
      </c>
      <c r="T5" s="10">
        <v>46095</v>
      </c>
      <c r="U5" s="10">
        <v>46096</v>
      </c>
      <c r="V5" s="10">
        <v>46097</v>
      </c>
      <c r="W5" s="10">
        <v>46098</v>
      </c>
      <c r="X5" s="10">
        <v>46099</v>
      </c>
      <c r="Y5" s="10">
        <v>46100</v>
      </c>
      <c r="Z5" s="10">
        <v>46101</v>
      </c>
      <c r="AA5" s="10">
        <v>46102</v>
      </c>
      <c r="AB5" s="10">
        <v>46103</v>
      </c>
      <c r="AC5" s="10">
        <v>46104</v>
      </c>
      <c r="AD5" s="10">
        <v>46105</v>
      </c>
      <c r="AE5" s="10">
        <v>46106</v>
      </c>
      <c r="AF5" s="10">
        <v>46107</v>
      </c>
      <c r="AG5" s="10">
        <v>46108</v>
      </c>
      <c r="AH5" s="11">
        <v>46109</v>
      </c>
      <c r="AI5" s="2">
        <v>46110</v>
      </c>
      <c r="AJ5" s="2">
        <v>46111</v>
      </c>
      <c r="AK5" s="2">
        <v>46112</v>
      </c>
    </row>
    <row r="6" spans="1:37" ht="25.05" customHeight="1" x14ac:dyDescent="0.35">
      <c r="A6" s="5"/>
      <c r="B6" s="12" t="s">
        <v>5</v>
      </c>
      <c r="C6" s="13">
        <v>46082</v>
      </c>
      <c r="D6" s="13">
        <f>C6+E6-1</f>
        <v>46086</v>
      </c>
      <c r="E6" s="14">
        <v>5</v>
      </c>
      <c r="F6" s="15" t="s">
        <v>10</v>
      </c>
      <c r="G6" s="20" t="str">
        <f>IF(AND(G$5&gt;=$C6,G$5&lt;=$D6),$F6,"")</f>
        <v>Completed</v>
      </c>
      <c r="H6" s="20" t="str">
        <f t="shared" ref="H6:AK10" si="0">IF(AND(H$5&gt;=$C6,H$5&lt;=$D6),$F6,"")</f>
        <v>Completed</v>
      </c>
      <c r="I6" s="20" t="str">
        <f t="shared" si="0"/>
        <v>Completed</v>
      </c>
      <c r="J6" s="20" t="str">
        <f t="shared" si="0"/>
        <v>Completed</v>
      </c>
      <c r="K6" s="20" t="str">
        <f t="shared" si="0"/>
        <v>Completed</v>
      </c>
      <c r="L6" s="20" t="str">
        <f t="shared" si="0"/>
        <v/>
      </c>
      <c r="M6" s="20" t="str">
        <f t="shared" si="0"/>
        <v/>
      </c>
      <c r="N6" s="20" t="str">
        <f t="shared" si="0"/>
        <v/>
      </c>
      <c r="O6" s="20" t="str">
        <f t="shared" si="0"/>
        <v/>
      </c>
      <c r="P6" s="20" t="str">
        <f t="shared" si="0"/>
        <v/>
      </c>
      <c r="Q6" s="20" t="str">
        <f t="shared" si="0"/>
        <v/>
      </c>
      <c r="R6" s="20" t="str">
        <f t="shared" si="0"/>
        <v/>
      </c>
      <c r="S6" s="20" t="str">
        <f t="shared" si="0"/>
        <v/>
      </c>
      <c r="T6" s="20" t="str">
        <f t="shared" si="0"/>
        <v/>
      </c>
      <c r="U6" s="20" t="str">
        <f t="shared" si="0"/>
        <v/>
      </c>
      <c r="V6" s="20" t="str">
        <f t="shared" si="0"/>
        <v/>
      </c>
      <c r="W6" s="20" t="str">
        <f t="shared" si="0"/>
        <v/>
      </c>
      <c r="X6" s="20" t="str">
        <f t="shared" si="0"/>
        <v/>
      </c>
      <c r="Y6" s="20" t="str">
        <f t="shared" si="0"/>
        <v/>
      </c>
      <c r="Z6" s="20" t="str">
        <f t="shared" si="0"/>
        <v/>
      </c>
      <c r="AA6" s="20" t="str">
        <f t="shared" si="0"/>
        <v/>
      </c>
      <c r="AB6" s="20" t="str">
        <f t="shared" si="0"/>
        <v/>
      </c>
      <c r="AC6" s="20" t="str">
        <f t="shared" si="0"/>
        <v/>
      </c>
      <c r="AD6" s="20" t="str">
        <f t="shared" si="0"/>
        <v/>
      </c>
      <c r="AE6" s="20" t="str">
        <f t="shared" si="0"/>
        <v/>
      </c>
      <c r="AF6" s="20" t="str">
        <f t="shared" si="0"/>
        <v/>
      </c>
      <c r="AG6" s="20" t="str">
        <f t="shared" si="0"/>
        <v/>
      </c>
      <c r="AH6" s="21" t="str">
        <f t="shared" si="0"/>
        <v/>
      </c>
      <c r="AI6" s="3" t="str">
        <f t="shared" si="0"/>
        <v/>
      </c>
      <c r="AJ6" s="3" t="str">
        <f t="shared" si="0"/>
        <v/>
      </c>
      <c r="AK6" s="3" t="str">
        <f t="shared" si="0"/>
        <v/>
      </c>
    </row>
    <row r="7" spans="1:37" ht="25.05" customHeight="1" x14ac:dyDescent="0.35">
      <c r="A7" s="5"/>
      <c r="B7" s="12" t="s">
        <v>6</v>
      </c>
      <c r="C7" s="13">
        <v>46084</v>
      </c>
      <c r="D7" s="13">
        <f t="shared" ref="D7:D10" si="1">C7+E7-1</f>
        <v>46098</v>
      </c>
      <c r="E7" s="14">
        <v>15</v>
      </c>
      <c r="F7" s="15" t="s">
        <v>11</v>
      </c>
      <c r="G7" s="20" t="str">
        <f t="shared" ref="G7:G10" si="2">IF(AND(G$5&gt;=$C7,G$5&lt;=$D7),$F7,"")</f>
        <v/>
      </c>
      <c r="H7" s="20" t="str">
        <f t="shared" si="0"/>
        <v/>
      </c>
      <c r="I7" s="20" t="str">
        <f t="shared" si="0"/>
        <v>Pending</v>
      </c>
      <c r="J7" s="20" t="str">
        <f t="shared" si="0"/>
        <v>Pending</v>
      </c>
      <c r="K7" s="20" t="str">
        <f t="shared" si="0"/>
        <v>Pending</v>
      </c>
      <c r="L7" s="20" t="str">
        <f t="shared" si="0"/>
        <v>Pending</v>
      </c>
      <c r="M7" s="20" t="str">
        <f t="shared" si="0"/>
        <v>Pending</v>
      </c>
      <c r="N7" s="20" t="str">
        <f t="shared" si="0"/>
        <v>Pending</v>
      </c>
      <c r="O7" s="20" t="str">
        <f t="shared" si="0"/>
        <v>Pending</v>
      </c>
      <c r="P7" s="20" t="str">
        <f t="shared" si="0"/>
        <v>Pending</v>
      </c>
      <c r="Q7" s="20" t="str">
        <f t="shared" si="0"/>
        <v>Pending</v>
      </c>
      <c r="R7" s="20" t="str">
        <f t="shared" si="0"/>
        <v>Pending</v>
      </c>
      <c r="S7" s="20" t="str">
        <f t="shared" si="0"/>
        <v>Pending</v>
      </c>
      <c r="T7" s="20" t="str">
        <f t="shared" si="0"/>
        <v>Pending</v>
      </c>
      <c r="U7" s="20" t="str">
        <f t="shared" si="0"/>
        <v>Pending</v>
      </c>
      <c r="V7" s="20" t="str">
        <f t="shared" si="0"/>
        <v>Pending</v>
      </c>
      <c r="W7" s="20" t="str">
        <f t="shared" si="0"/>
        <v>Pending</v>
      </c>
      <c r="X7" s="20" t="str">
        <f t="shared" si="0"/>
        <v/>
      </c>
      <c r="Y7" s="20" t="str">
        <f t="shared" si="0"/>
        <v/>
      </c>
      <c r="Z7" s="20" t="str">
        <f t="shared" si="0"/>
        <v/>
      </c>
      <c r="AA7" s="20" t="str">
        <f t="shared" si="0"/>
        <v/>
      </c>
      <c r="AB7" s="20" t="str">
        <f t="shared" si="0"/>
        <v/>
      </c>
      <c r="AC7" s="20" t="str">
        <f t="shared" si="0"/>
        <v/>
      </c>
      <c r="AD7" s="20" t="str">
        <f t="shared" si="0"/>
        <v/>
      </c>
      <c r="AE7" s="20" t="str">
        <f t="shared" si="0"/>
        <v/>
      </c>
      <c r="AF7" s="20" t="str">
        <f t="shared" si="0"/>
        <v/>
      </c>
      <c r="AG7" s="20" t="str">
        <f t="shared" si="0"/>
        <v/>
      </c>
      <c r="AH7" s="21" t="str">
        <f t="shared" si="0"/>
        <v/>
      </c>
      <c r="AI7" s="3" t="str">
        <f t="shared" si="0"/>
        <v/>
      </c>
      <c r="AJ7" s="3" t="str">
        <f t="shared" si="0"/>
        <v/>
      </c>
      <c r="AK7" s="3" t="str">
        <f t="shared" si="0"/>
        <v/>
      </c>
    </row>
    <row r="8" spans="1:37" ht="25.05" customHeight="1" x14ac:dyDescent="0.35">
      <c r="A8" s="5"/>
      <c r="B8" s="12" t="s">
        <v>7</v>
      </c>
      <c r="C8" s="13">
        <v>46086</v>
      </c>
      <c r="D8" s="13">
        <f t="shared" si="1"/>
        <v>46088</v>
      </c>
      <c r="E8" s="14">
        <v>3</v>
      </c>
      <c r="F8" s="15" t="s">
        <v>11</v>
      </c>
      <c r="G8" s="20" t="str">
        <f t="shared" si="2"/>
        <v/>
      </c>
      <c r="H8" s="20" t="str">
        <f t="shared" si="0"/>
        <v/>
      </c>
      <c r="I8" s="20" t="str">
        <f t="shared" si="0"/>
        <v/>
      </c>
      <c r="J8" s="20" t="str">
        <f t="shared" si="0"/>
        <v/>
      </c>
      <c r="K8" s="20" t="str">
        <f t="shared" si="0"/>
        <v>Pending</v>
      </c>
      <c r="L8" s="20" t="str">
        <f t="shared" si="0"/>
        <v>Pending</v>
      </c>
      <c r="M8" s="20" t="str">
        <f t="shared" si="0"/>
        <v>Pending</v>
      </c>
      <c r="N8" s="20" t="str">
        <f t="shared" si="0"/>
        <v/>
      </c>
      <c r="O8" s="20" t="str">
        <f t="shared" si="0"/>
        <v/>
      </c>
      <c r="P8" s="20" t="str">
        <f t="shared" si="0"/>
        <v/>
      </c>
      <c r="Q8" s="20" t="str">
        <f t="shared" si="0"/>
        <v/>
      </c>
      <c r="R8" s="20" t="str">
        <f t="shared" si="0"/>
        <v/>
      </c>
      <c r="S8" s="20" t="str">
        <f t="shared" si="0"/>
        <v/>
      </c>
      <c r="T8" s="20" t="str">
        <f t="shared" si="0"/>
        <v/>
      </c>
      <c r="U8" s="20" t="str">
        <f t="shared" si="0"/>
        <v/>
      </c>
      <c r="V8" s="20" t="str">
        <f t="shared" si="0"/>
        <v/>
      </c>
      <c r="W8" s="20" t="str">
        <f t="shared" si="0"/>
        <v/>
      </c>
      <c r="X8" s="20" t="str">
        <f t="shared" si="0"/>
        <v/>
      </c>
      <c r="Y8" s="20" t="str">
        <f t="shared" si="0"/>
        <v/>
      </c>
      <c r="Z8" s="20" t="str">
        <f t="shared" si="0"/>
        <v/>
      </c>
      <c r="AA8" s="20" t="str">
        <f t="shared" si="0"/>
        <v/>
      </c>
      <c r="AB8" s="20" t="str">
        <f t="shared" si="0"/>
        <v/>
      </c>
      <c r="AC8" s="20" t="str">
        <f t="shared" si="0"/>
        <v/>
      </c>
      <c r="AD8" s="20" t="str">
        <f t="shared" si="0"/>
        <v/>
      </c>
      <c r="AE8" s="20" t="str">
        <f t="shared" si="0"/>
        <v/>
      </c>
      <c r="AF8" s="20" t="str">
        <f t="shared" si="0"/>
        <v/>
      </c>
      <c r="AG8" s="20" t="str">
        <f t="shared" si="0"/>
        <v/>
      </c>
      <c r="AH8" s="21" t="str">
        <f t="shared" si="0"/>
        <v/>
      </c>
      <c r="AI8" s="3" t="str">
        <f t="shared" si="0"/>
        <v/>
      </c>
      <c r="AJ8" s="3" t="str">
        <f t="shared" si="0"/>
        <v/>
      </c>
      <c r="AK8" s="3" t="str">
        <f t="shared" si="0"/>
        <v/>
      </c>
    </row>
    <row r="9" spans="1:37" ht="25.05" customHeight="1" x14ac:dyDescent="0.35">
      <c r="A9" s="5"/>
      <c r="B9" s="12" t="s">
        <v>8</v>
      </c>
      <c r="C9" s="13">
        <v>46088</v>
      </c>
      <c r="D9" s="13">
        <f t="shared" si="1"/>
        <v>46095</v>
      </c>
      <c r="E9" s="14">
        <v>8</v>
      </c>
      <c r="F9" s="15" t="s">
        <v>10</v>
      </c>
      <c r="G9" s="20" t="str">
        <f t="shared" si="2"/>
        <v/>
      </c>
      <c r="H9" s="20" t="str">
        <f t="shared" si="0"/>
        <v/>
      </c>
      <c r="I9" s="20" t="str">
        <f t="shared" si="0"/>
        <v/>
      </c>
      <c r="J9" s="20" t="str">
        <f t="shared" si="0"/>
        <v/>
      </c>
      <c r="K9" s="20" t="str">
        <f t="shared" si="0"/>
        <v/>
      </c>
      <c r="L9" s="20" t="str">
        <f t="shared" si="0"/>
        <v/>
      </c>
      <c r="M9" s="20" t="str">
        <f t="shared" si="0"/>
        <v>Completed</v>
      </c>
      <c r="N9" s="20" t="str">
        <f t="shared" si="0"/>
        <v>Completed</v>
      </c>
      <c r="O9" s="20" t="str">
        <f t="shared" si="0"/>
        <v>Completed</v>
      </c>
      <c r="P9" s="20" t="str">
        <f t="shared" si="0"/>
        <v>Completed</v>
      </c>
      <c r="Q9" s="20" t="str">
        <f t="shared" si="0"/>
        <v>Completed</v>
      </c>
      <c r="R9" s="20" t="str">
        <f t="shared" si="0"/>
        <v>Completed</v>
      </c>
      <c r="S9" s="20" t="str">
        <f t="shared" si="0"/>
        <v>Completed</v>
      </c>
      <c r="T9" s="20" t="str">
        <f t="shared" si="0"/>
        <v>Completed</v>
      </c>
      <c r="U9" s="20" t="str">
        <f t="shared" si="0"/>
        <v/>
      </c>
      <c r="V9" s="20" t="str">
        <f t="shared" si="0"/>
        <v/>
      </c>
      <c r="W9" s="20" t="str">
        <f t="shared" si="0"/>
        <v/>
      </c>
      <c r="X9" s="20" t="str">
        <f t="shared" si="0"/>
        <v/>
      </c>
      <c r="Y9" s="20" t="str">
        <f t="shared" si="0"/>
        <v/>
      </c>
      <c r="Z9" s="20" t="str">
        <f t="shared" si="0"/>
        <v/>
      </c>
      <c r="AA9" s="20" t="str">
        <f t="shared" si="0"/>
        <v/>
      </c>
      <c r="AB9" s="20" t="str">
        <f t="shared" si="0"/>
        <v/>
      </c>
      <c r="AC9" s="20" t="str">
        <f t="shared" si="0"/>
        <v/>
      </c>
      <c r="AD9" s="20" t="str">
        <f t="shared" si="0"/>
        <v/>
      </c>
      <c r="AE9" s="20" t="str">
        <f t="shared" si="0"/>
        <v/>
      </c>
      <c r="AF9" s="20" t="str">
        <f t="shared" si="0"/>
        <v/>
      </c>
      <c r="AG9" s="20" t="str">
        <f t="shared" si="0"/>
        <v/>
      </c>
      <c r="AH9" s="21" t="str">
        <f t="shared" si="0"/>
        <v/>
      </c>
      <c r="AI9" s="3" t="str">
        <f t="shared" si="0"/>
        <v/>
      </c>
      <c r="AJ9" s="3" t="str">
        <f t="shared" si="0"/>
        <v/>
      </c>
      <c r="AK9" s="3" t="str">
        <f t="shared" si="0"/>
        <v/>
      </c>
    </row>
    <row r="10" spans="1:37" ht="25.05" customHeight="1" thickBot="1" x14ac:dyDescent="0.4">
      <c r="A10" s="5"/>
      <c r="B10" s="16" t="s">
        <v>9</v>
      </c>
      <c r="C10" s="17">
        <v>46090</v>
      </c>
      <c r="D10" s="17">
        <f t="shared" si="1"/>
        <v>46104</v>
      </c>
      <c r="E10" s="18">
        <v>15</v>
      </c>
      <c r="F10" s="19" t="s">
        <v>12</v>
      </c>
      <c r="G10" s="22" t="str">
        <f t="shared" si="2"/>
        <v/>
      </c>
      <c r="H10" s="22" t="str">
        <f t="shared" si="0"/>
        <v/>
      </c>
      <c r="I10" s="22" t="str">
        <f t="shared" si="0"/>
        <v/>
      </c>
      <c r="J10" s="22" t="str">
        <f t="shared" si="0"/>
        <v/>
      </c>
      <c r="K10" s="22" t="str">
        <f t="shared" si="0"/>
        <v/>
      </c>
      <c r="L10" s="22" t="str">
        <f t="shared" si="0"/>
        <v/>
      </c>
      <c r="M10" s="22" t="str">
        <f t="shared" si="0"/>
        <v/>
      </c>
      <c r="N10" s="22" t="str">
        <f t="shared" si="0"/>
        <v/>
      </c>
      <c r="O10" s="22" t="str">
        <f t="shared" si="0"/>
        <v>Defered</v>
      </c>
      <c r="P10" s="22" t="str">
        <f t="shared" si="0"/>
        <v>Defered</v>
      </c>
      <c r="Q10" s="22" t="str">
        <f t="shared" si="0"/>
        <v>Defered</v>
      </c>
      <c r="R10" s="22" t="str">
        <f t="shared" si="0"/>
        <v>Defered</v>
      </c>
      <c r="S10" s="22" t="str">
        <f t="shared" si="0"/>
        <v>Defered</v>
      </c>
      <c r="T10" s="22" t="str">
        <f t="shared" si="0"/>
        <v>Defered</v>
      </c>
      <c r="U10" s="22" t="str">
        <f t="shared" si="0"/>
        <v>Defered</v>
      </c>
      <c r="V10" s="22" t="str">
        <f t="shared" si="0"/>
        <v>Defered</v>
      </c>
      <c r="W10" s="22" t="str">
        <f t="shared" si="0"/>
        <v>Defered</v>
      </c>
      <c r="X10" s="22" t="str">
        <f t="shared" si="0"/>
        <v>Defered</v>
      </c>
      <c r="Y10" s="22" t="str">
        <f t="shared" si="0"/>
        <v>Defered</v>
      </c>
      <c r="Z10" s="22" t="str">
        <f t="shared" si="0"/>
        <v>Defered</v>
      </c>
      <c r="AA10" s="22" t="str">
        <f t="shared" si="0"/>
        <v>Defered</v>
      </c>
      <c r="AB10" s="22" t="str">
        <f t="shared" si="0"/>
        <v>Defered</v>
      </c>
      <c r="AC10" s="22" t="str">
        <f t="shared" si="0"/>
        <v>Defered</v>
      </c>
      <c r="AD10" s="22" t="str">
        <f t="shared" si="0"/>
        <v/>
      </c>
      <c r="AE10" s="22" t="str">
        <f t="shared" si="0"/>
        <v/>
      </c>
      <c r="AF10" s="22" t="str">
        <f t="shared" si="0"/>
        <v/>
      </c>
      <c r="AG10" s="22" t="str">
        <f t="shared" si="0"/>
        <v/>
      </c>
      <c r="AH10" s="23" t="str">
        <f t="shared" si="0"/>
        <v/>
      </c>
      <c r="AI10" s="3" t="str">
        <f t="shared" si="0"/>
        <v/>
      </c>
      <c r="AJ10" s="3" t="str">
        <f t="shared" si="0"/>
        <v/>
      </c>
      <c r="AK10" s="3" t="str">
        <f t="shared" si="0"/>
        <v/>
      </c>
    </row>
    <row r="11" spans="1:37" ht="18.600000000000001" thickTop="1" x14ac:dyDescent="0.35"/>
  </sheetData>
  <sheetProtection sheet="1" objects="1" scenarios="1"/>
  <conditionalFormatting sqref="G6:AK10">
    <cfRule type="cellIs" dxfId="9" priority="5" operator="equal">
      <formula>"Defered"</formula>
    </cfRule>
    <cfRule type="cellIs" dxfId="8" priority="6" operator="equal">
      <formula>"Pending"</formula>
    </cfRule>
    <cfRule type="cellIs" dxfId="7" priority="7" operator="equal">
      <formula>"Completed"</formula>
    </cfRule>
  </conditionalFormatting>
  <conditionalFormatting sqref="F6:F10">
    <cfRule type="cellIs" dxfId="6" priority="2" operator="equal">
      <formula>"Pending"</formula>
    </cfRule>
    <cfRule type="cellIs" dxfId="5" priority="3" operator="equal">
      <formula>"Completed"</formula>
    </cfRule>
    <cfRule type="cellIs" dxfId="4" priority="4" operator="equal">
      <formula>"Defered"</formula>
    </cfRule>
  </conditionalFormatting>
  <conditionalFormatting sqref="G5:AH10">
    <cfRule type="expression" dxfId="3" priority="1">
      <formula>G$5=$F$2</formula>
    </cfRule>
  </conditionalFormatting>
  <dataValidations count="2">
    <dataValidation type="list" allowBlank="1" showInputMessage="1" showErrorMessage="1" sqref="F6:F10" xr:uid="{CEF01837-7BFE-4DFC-9231-8E092E061291}">
      <formula1>"Completed,Pending,Defered"</formula1>
    </dataValidation>
    <dataValidation type="list" allowBlank="1" showInputMessage="1" showErrorMessage="1" sqref="F2" xr:uid="{3809B167-DBAC-457F-AF78-A3BD882E9BC7}">
      <formula1>$G$5:$AH$5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F9B9-A737-4D43-8CBC-F892BFA71138}">
  <dimension ref="A1:K7"/>
  <sheetViews>
    <sheetView workbookViewId="0">
      <selection activeCell="K1" sqref="K1"/>
    </sheetView>
  </sheetViews>
  <sheetFormatPr defaultRowHeight="18" x14ac:dyDescent="0.35"/>
  <cols>
    <col min="1" max="1" width="21.25" customWidth="1"/>
    <col min="3" max="3" width="12.75" customWidth="1"/>
    <col min="4" max="4" width="10.08203125" customWidth="1"/>
    <col min="5" max="5" width="22.33203125" customWidth="1"/>
  </cols>
  <sheetData>
    <row r="1" spans="1:11" x14ac:dyDescent="0.35">
      <c r="A1" s="25" t="s">
        <v>14</v>
      </c>
      <c r="B1" s="26" t="s">
        <v>15</v>
      </c>
      <c r="C1" s="26" t="s">
        <v>31</v>
      </c>
      <c r="D1" s="26" t="s">
        <v>20</v>
      </c>
      <c r="E1" s="27" t="s">
        <v>21</v>
      </c>
      <c r="J1" t="s">
        <v>31</v>
      </c>
      <c r="K1" t="s">
        <v>35</v>
      </c>
    </row>
    <row r="2" spans="1:11" hidden="1" x14ac:dyDescent="0.35">
      <c r="A2" s="24" t="s">
        <v>16</v>
      </c>
      <c r="B2" s="4">
        <v>40</v>
      </c>
      <c r="C2" s="4" t="s">
        <v>32</v>
      </c>
      <c r="D2" s="4">
        <f>Table1[[#This Row],[Count]]/SUM(Table1[Count])*100</f>
        <v>32</v>
      </c>
      <c r="E2" s="5">
        <f>SUMIF(Table1[[#Headers],[region]]:Table1[[#This Row],[region]],$K$1,Table1[[#Headers],[% of Total]]:Table1[[#This Row],[% of Total]])</f>
        <v>0</v>
      </c>
    </row>
    <row r="3" spans="1:11" x14ac:dyDescent="0.35">
      <c r="A3" s="24" t="s">
        <v>18</v>
      </c>
      <c r="B3" s="4">
        <v>30</v>
      </c>
      <c r="C3" s="4" t="s">
        <v>33</v>
      </c>
      <c r="D3" s="4">
        <f>Table1[[#This Row],[Count]]/SUM(Table1[Count])*100</f>
        <v>24</v>
      </c>
      <c r="E3" s="5">
        <f>SUMIF(Table1[[#Headers],[region]]:Table1[[#This Row],[region]],$K$1,Table1[[#Headers],[% of Total]]:Table1[[#This Row],[% of Total]])</f>
        <v>24</v>
      </c>
    </row>
    <row r="4" spans="1:11" hidden="1" x14ac:dyDescent="0.35">
      <c r="A4" s="24" t="s">
        <v>5</v>
      </c>
      <c r="B4" s="4">
        <v>25</v>
      </c>
      <c r="C4" s="4" t="s">
        <v>32</v>
      </c>
      <c r="D4" s="4">
        <f>Table1[[#This Row],[Count]]/SUM(Table1[Count])*100</f>
        <v>20</v>
      </c>
      <c r="E4" s="5">
        <f>SUMIF(Table1[[#Headers],[region]]:Table1[[#This Row],[region]],$K$1,Table1[[#Headers],[% of Total]]:Table1[[#This Row],[% of Total]])</f>
        <v>24</v>
      </c>
    </row>
    <row r="5" spans="1:11" hidden="1" x14ac:dyDescent="0.35">
      <c r="A5" s="24" t="s">
        <v>17</v>
      </c>
      <c r="B5" s="4">
        <v>15</v>
      </c>
      <c r="C5" s="4" t="s">
        <v>32</v>
      </c>
      <c r="D5" s="4">
        <f>Table1[[#This Row],[Count]]/SUM(Table1[Count])*100</f>
        <v>12</v>
      </c>
      <c r="E5" s="5">
        <f>SUMIF(Table1[[#Headers],[region]]:Table1[[#This Row],[region]],$K$1,Table1[[#Headers],[% of Total]]:Table1[[#This Row],[% of Total]])</f>
        <v>24</v>
      </c>
    </row>
    <row r="6" spans="1:11" x14ac:dyDescent="0.35">
      <c r="A6" s="28" t="s">
        <v>19</v>
      </c>
      <c r="B6" s="29">
        <v>10</v>
      </c>
      <c r="C6" s="29" t="s">
        <v>33</v>
      </c>
      <c r="D6" s="29">
        <f>Table1[[#This Row],[Count]]/SUM(Table1[Count])*100</f>
        <v>8</v>
      </c>
      <c r="E6" s="30">
        <f>SUMIF(Table1[[#Headers],[region]]:Table1[[#This Row],[region]],$K$1,Table1[[#Headers],[% of Total]]:Table1[[#This Row],[% of Total]])</f>
        <v>32</v>
      </c>
    </row>
    <row r="7" spans="1:11" hidden="1" x14ac:dyDescent="0.35">
      <c r="A7" s="28" t="s">
        <v>30</v>
      </c>
      <c r="B7" s="29">
        <v>5</v>
      </c>
      <c r="C7" s="29" t="s">
        <v>34</v>
      </c>
      <c r="D7" s="32">
        <f>Table1[[#This Row],[Count]]/SUM(Table1[Count])*100</f>
        <v>4</v>
      </c>
      <c r="E7" s="33">
        <f>SUMIF(Table1[[#Headers],[region]]:Table1[[#This Row],[region]],$K$1,Table1[[#Headers],[% of Total]]:Table1[[#This Row],[% of Total]])</f>
        <v>32</v>
      </c>
    </row>
  </sheetData>
  <dataValidations count="1">
    <dataValidation type="list" allowBlank="1" showInputMessage="1" showErrorMessage="1" sqref="K1" xr:uid="{4C8AE19D-FD57-4AF4-B5AC-B1646CE182FB}">
      <formula1>"North,South,East,West"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BD0A-D7A5-45D4-B82B-A4B6F77BAE41}">
  <dimension ref="A1:F7"/>
  <sheetViews>
    <sheetView workbookViewId="0">
      <selection activeCell="A15" sqref="A15"/>
    </sheetView>
  </sheetViews>
  <sheetFormatPr defaultRowHeight="18" x14ac:dyDescent="0.35"/>
  <cols>
    <col min="1" max="1" width="16.83203125" customWidth="1"/>
    <col min="3" max="3" width="12.08203125" customWidth="1"/>
    <col min="4" max="4" width="12.5" customWidth="1"/>
    <col min="14" max="14" width="0.75" customWidth="1"/>
  </cols>
  <sheetData>
    <row r="1" spans="1:6" ht="19.2" thickTop="1" thickBot="1" x14ac:dyDescent="0.4">
      <c r="A1" s="40" t="s">
        <v>14</v>
      </c>
      <c r="B1" s="40" t="s">
        <v>37</v>
      </c>
      <c r="C1" s="40" t="s">
        <v>22</v>
      </c>
      <c r="D1" s="40" t="s">
        <v>23</v>
      </c>
      <c r="E1" s="36" t="s">
        <v>36</v>
      </c>
    </row>
    <row r="2" spans="1:6" ht="25.05" customHeight="1" thickTop="1" thickBot="1" x14ac:dyDescent="0.4">
      <c r="A2" s="37" t="s">
        <v>16</v>
      </c>
      <c r="B2" s="37">
        <v>40</v>
      </c>
      <c r="C2" s="38">
        <f>B2/$B$7</f>
        <v>0.33333333333333331</v>
      </c>
      <c r="D2" s="39">
        <f>SUM(C2:$C$2)</f>
        <v>0.33333333333333331</v>
      </c>
      <c r="E2" s="24"/>
      <c r="F2" s="34"/>
    </row>
    <row r="3" spans="1:6" ht="19.2" thickTop="1" thickBot="1" x14ac:dyDescent="0.4">
      <c r="A3" s="37" t="s">
        <v>18</v>
      </c>
      <c r="B3" s="37">
        <v>30</v>
      </c>
      <c r="C3" s="38">
        <f t="shared" ref="C3:C6" si="0">B3/$B$7</f>
        <v>0.25</v>
      </c>
      <c r="D3" s="39">
        <f>SUM(C$2:$C3)</f>
        <v>0.58333333333333326</v>
      </c>
      <c r="E3" s="24"/>
      <c r="F3" s="34"/>
    </row>
    <row r="4" spans="1:6" ht="19.2" thickTop="1" thickBot="1" x14ac:dyDescent="0.4">
      <c r="A4" s="37" t="s">
        <v>5</v>
      </c>
      <c r="B4" s="37">
        <v>25</v>
      </c>
      <c r="C4" s="38">
        <f t="shared" si="0"/>
        <v>0.20833333333333334</v>
      </c>
      <c r="D4" s="39">
        <f>SUM(C$2:$C4)</f>
        <v>0.79166666666666663</v>
      </c>
      <c r="E4" s="24"/>
      <c r="F4" s="34"/>
    </row>
    <row r="5" spans="1:6" ht="19.2" thickTop="1" thickBot="1" x14ac:dyDescent="0.4">
      <c r="A5" s="37" t="s">
        <v>17</v>
      </c>
      <c r="B5" s="37">
        <v>15</v>
      </c>
      <c r="C5" s="38">
        <f t="shared" si="0"/>
        <v>0.125</v>
      </c>
      <c r="D5" s="39">
        <f>SUM(C$2:$C5)</f>
        <v>0.91666666666666663</v>
      </c>
      <c r="E5" s="24"/>
      <c r="F5" s="34"/>
    </row>
    <row r="6" spans="1:6" ht="19.2" thickTop="1" thickBot="1" x14ac:dyDescent="0.4">
      <c r="A6" s="37" t="s">
        <v>19</v>
      </c>
      <c r="B6" s="37">
        <v>10</v>
      </c>
      <c r="C6" s="38">
        <f t="shared" si="0"/>
        <v>8.3333333333333329E-2</v>
      </c>
      <c r="D6" s="39">
        <f>SUM(C$2:$C6)</f>
        <v>1</v>
      </c>
      <c r="E6" s="24"/>
      <c r="F6" s="34"/>
    </row>
    <row r="7" spans="1:6" ht="18.600000000000001" thickTop="1" x14ac:dyDescent="0.35">
      <c r="B7">
        <f>SUM(B2:B6)</f>
        <v>120</v>
      </c>
      <c r="C7" s="35">
        <f>SUM(C2:C6)</f>
        <v>1</v>
      </c>
    </row>
  </sheetData>
  <sortState xmlns:xlrd2="http://schemas.microsoft.com/office/spreadsheetml/2017/richdata2" ref="A2:D6">
    <sortCondition descending="1" ref="B2:B6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4C1A3-CC05-4A42-A75F-316AEB2D1588}">
  <dimension ref="A1:D21"/>
  <sheetViews>
    <sheetView workbookViewId="0">
      <selection activeCell="C10" sqref="C10"/>
    </sheetView>
  </sheetViews>
  <sheetFormatPr defaultRowHeight="18" x14ac:dyDescent="0.35"/>
  <cols>
    <col min="1" max="1" width="16.5" customWidth="1"/>
  </cols>
  <sheetData>
    <row r="1" spans="1:4" x14ac:dyDescent="0.35">
      <c r="A1" s="4" t="s">
        <v>14</v>
      </c>
      <c r="B1" s="4" t="s">
        <v>15</v>
      </c>
      <c r="C1" s="4" t="s">
        <v>22</v>
      </c>
      <c r="D1" s="4" t="s">
        <v>23</v>
      </c>
    </row>
    <row r="2" spans="1:4" x14ac:dyDescent="0.35">
      <c r="A2" s="4" t="s">
        <v>16</v>
      </c>
      <c r="B2" s="4">
        <v>40</v>
      </c>
      <c r="C2" s="4">
        <f>B2/SUM(B2:B6)*100</f>
        <v>33.333333333333329</v>
      </c>
      <c r="D2" s="4">
        <f>IF(C2="","",SUM($C$2:C2))</f>
        <v>33.333333333333329</v>
      </c>
    </row>
    <row r="3" spans="1:4" x14ac:dyDescent="0.35">
      <c r="A3" s="4" t="s">
        <v>18</v>
      </c>
      <c r="B3" s="4">
        <v>30</v>
      </c>
      <c r="C3" s="4">
        <f t="shared" ref="C3:C11" si="0">B3/SUM(B3:B7)*100</f>
        <v>35.294117647058826</v>
      </c>
      <c r="D3" s="4">
        <f>IF(C3="","",SUM($C$2:C3))</f>
        <v>68.627450980392155</v>
      </c>
    </row>
    <row r="4" spans="1:4" x14ac:dyDescent="0.35">
      <c r="A4" s="4" t="s">
        <v>5</v>
      </c>
      <c r="B4" s="4">
        <v>25</v>
      </c>
      <c r="C4" s="4">
        <f t="shared" si="0"/>
        <v>42.372881355932201</v>
      </c>
      <c r="D4" s="4">
        <f>IF(C4="","",SUM($C$2:C4))</f>
        <v>111.00033233632436</v>
      </c>
    </row>
    <row r="5" spans="1:4" x14ac:dyDescent="0.35">
      <c r="A5" s="4" t="s">
        <v>17</v>
      </c>
      <c r="B5" s="4">
        <v>15</v>
      </c>
      <c r="C5" s="4">
        <f t="shared" si="0"/>
        <v>40.54054054054054</v>
      </c>
      <c r="D5" s="4">
        <f>IF(C5="","",SUM($C$2:C5))</f>
        <v>151.54087287686491</v>
      </c>
    </row>
    <row r="6" spans="1:4" x14ac:dyDescent="0.35">
      <c r="A6" s="4" t="s">
        <v>19</v>
      </c>
      <c r="B6" s="4">
        <v>10</v>
      </c>
      <c r="C6" s="4">
        <f t="shared" si="0"/>
        <v>41.666666666666671</v>
      </c>
      <c r="D6" s="4">
        <f>IF(C6="","",SUM($C$2:C6))</f>
        <v>193.2075395435316</v>
      </c>
    </row>
    <row r="7" spans="1:4" x14ac:dyDescent="0.35">
      <c r="A7" s="31" t="s">
        <v>24</v>
      </c>
      <c r="B7" s="31">
        <v>5</v>
      </c>
      <c r="C7" s="4">
        <f>B7/SUM(B7:B11)*100</f>
        <v>33.333333333333329</v>
      </c>
      <c r="D7" s="4">
        <f>IF(C7="","",SUM($C$2:C7))</f>
        <v>226.54087287686491</v>
      </c>
    </row>
    <row r="8" spans="1:4" x14ac:dyDescent="0.35">
      <c r="A8" s="31" t="s">
        <v>25</v>
      </c>
      <c r="B8" s="31">
        <v>4</v>
      </c>
      <c r="C8" s="4">
        <v>-40</v>
      </c>
      <c r="D8" s="4">
        <f>IF(C8="","",SUM($C$2:C8))</f>
        <v>186.54087287686491</v>
      </c>
    </row>
    <row r="9" spans="1:4" x14ac:dyDescent="0.35">
      <c r="A9" s="31" t="s">
        <v>26</v>
      </c>
      <c r="B9" s="31">
        <v>3</v>
      </c>
      <c r="C9" s="4">
        <v>-246</v>
      </c>
      <c r="D9" s="4">
        <f>IF(C9="","",SUM($C$2:C9))</f>
        <v>-59.45912712313509</v>
      </c>
    </row>
    <row r="10" spans="1:4" x14ac:dyDescent="0.35">
      <c r="A10" s="31" t="s">
        <v>27</v>
      </c>
      <c r="B10" s="31">
        <v>2</v>
      </c>
      <c r="C10" s="4">
        <f t="shared" si="0"/>
        <v>66.666666666666657</v>
      </c>
      <c r="D10" s="4">
        <f>IF(C10="","",SUM($C$2:C10))</f>
        <v>7.207539543531567</v>
      </c>
    </row>
    <row r="11" spans="1:4" x14ac:dyDescent="0.35">
      <c r="A11" s="31" t="s">
        <v>29</v>
      </c>
      <c r="B11" s="31">
        <v>1</v>
      </c>
      <c r="C11" s="4">
        <f t="shared" si="0"/>
        <v>100</v>
      </c>
      <c r="D11" s="4">
        <f>IF(C11="","",SUM($C$2:C11))</f>
        <v>107.20753954353157</v>
      </c>
    </row>
    <row r="12" spans="1:4" x14ac:dyDescent="0.35">
      <c r="A12" t="s">
        <v>28</v>
      </c>
      <c r="D12" s="4"/>
    </row>
    <row r="13" spans="1:4" x14ac:dyDescent="0.35">
      <c r="A13" t="s">
        <v>29</v>
      </c>
      <c r="D13" s="4"/>
    </row>
    <row r="14" spans="1:4" x14ac:dyDescent="0.35">
      <c r="A14" s="4" t="s">
        <v>19</v>
      </c>
    </row>
    <row r="15" spans="1:4" x14ac:dyDescent="0.35">
      <c r="A15" s="31" t="s">
        <v>24</v>
      </c>
    </row>
    <row r="16" spans="1:4" x14ac:dyDescent="0.35">
      <c r="A16" s="31" t="s">
        <v>25</v>
      </c>
    </row>
    <row r="17" spans="1:1" x14ac:dyDescent="0.35">
      <c r="A17" s="31" t="s">
        <v>26</v>
      </c>
    </row>
    <row r="18" spans="1:1" x14ac:dyDescent="0.35">
      <c r="A18" s="31" t="s">
        <v>27</v>
      </c>
    </row>
    <row r="19" spans="1:1" x14ac:dyDescent="0.35">
      <c r="A19" s="31" t="s">
        <v>29</v>
      </c>
    </row>
    <row r="20" spans="1:1" x14ac:dyDescent="0.35">
      <c r="A20" t="s">
        <v>28</v>
      </c>
    </row>
    <row r="21" spans="1:1" x14ac:dyDescent="0.35">
      <c r="A2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Gant_chart</vt:lpstr>
      <vt:lpstr>pareto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</dc:creator>
  <cp:lastModifiedBy>Sathish Kumar</cp:lastModifiedBy>
  <dcterms:created xsi:type="dcterms:W3CDTF">2026-03-08T13:17:59Z</dcterms:created>
  <dcterms:modified xsi:type="dcterms:W3CDTF">2026-03-11T16:34:10Z</dcterms:modified>
</cp:coreProperties>
</file>